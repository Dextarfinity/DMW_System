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apple\Downloads\"/>
    </mc:Choice>
  </mc:AlternateContent>
  <xr:revisionPtr revIDLastSave="0" documentId="13_ncr:1_{68A1EF8E-9A7E-4991-BAEC-6084AF0925F5}" xr6:coauthVersionLast="47" xr6:coauthVersionMax="47" xr10:uidLastSave="{00000000-0000-0000-0000-000000000000}"/>
  <bookViews>
    <workbookView xWindow="-110" yWindow="-110" windowWidth="19420" windowHeight="10300" xr2:uid="{55689881-1648-4E5E-916E-F8ED8512E6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6" i="1" l="1"/>
  <c r="J101" i="1"/>
  <c r="J96" i="1"/>
  <c r="J88" i="1"/>
  <c r="J85" i="1"/>
  <c r="J91" i="1"/>
  <c r="J94" i="1"/>
  <c r="J93" i="1"/>
  <c r="J67" i="1"/>
  <c r="J74" i="1"/>
  <c r="J64" i="1"/>
  <c r="J69" i="1"/>
  <c r="J73" i="1"/>
  <c r="J70" i="1"/>
  <c r="J79" i="1"/>
  <c r="J77" i="1"/>
  <c r="J76" i="1"/>
  <c r="J75" i="1"/>
  <c r="J66" i="1"/>
  <c r="J65" i="1"/>
</calcChain>
</file>

<file path=xl/sharedStrings.xml><?xml version="1.0" encoding="utf-8"?>
<sst xmlns="http://schemas.openxmlformats.org/spreadsheetml/2006/main" count="574" uniqueCount="167">
  <si>
    <t>OFFICE OPERATION</t>
  </si>
  <si>
    <t>COLUMN 1</t>
  </si>
  <si>
    <t>COLUMN 2</t>
  </si>
  <si>
    <t>COLUMN 3</t>
  </si>
  <si>
    <t>COLUMN 4</t>
  </si>
  <si>
    <t>COLUMN 5</t>
  </si>
  <si>
    <t>COLUMN 6</t>
  </si>
  <si>
    <t>COLUMN 7</t>
  </si>
  <si>
    <t>COLUMN 8</t>
  </si>
  <si>
    <t>COLUMN 9</t>
  </si>
  <si>
    <t>COLUMN 10</t>
  </si>
  <si>
    <t>COLUMN 11</t>
  </si>
  <si>
    <t>COLUMN 12</t>
  </si>
  <si>
    <t>General Description and Objective 
 of the Project to be Procured</t>
  </si>
  <si>
    <t>Type of the Project 
 to be Procured
 (whether Goods, Infrastructure and Consulting Services)</t>
  </si>
  <si>
    <t>Quantity and Size of the Project 
 to be Procured</t>
  </si>
  <si>
    <t>Recommended Mode of Procurement</t>
  </si>
  <si>
    <t>Pre-Procurement Conference, if applicable (Yes/No)</t>
  </si>
  <si>
    <t>Start of Procurement Activity</t>
  </si>
  <si>
    <t>End of Procurement Activity</t>
  </si>
  <si>
    <t>Expected Delivery/ Implementation Period</t>
  </si>
  <si>
    <t>Source of Funds</t>
  </si>
  <si>
    <t>Estimated Budget / Authorized Budgetary Allocation (PhP)</t>
  </si>
  <si>
    <t>ATTACHED SUPPORTING DOCUMENTS</t>
  </si>
  <si>
    <t>REMARKS</t>
  </si>
  <si>
    <t>Goods</t>
  </si>
  <si>
    <t>20 bottles @ P687.50/ bottle</t>
  </si>
  <si>
    <t>No</t>
  </si>
  <si>
    <t>January 2026</t>
  </si>
  <si>
    <t>February 2026</t>
  </si>
  <si>
    <t>March 2026</t>
  </si>
  <si>
    <t>GAA 2026 - Current Appropriation</t>
  </si>
  <si>
    <t>10 pieces @ P220/ piece</t>
  </si>
  <si>
    <t>20 boxes @ P96/ box</t>
  </si>
  <si>
    <t>20 boxes @ P55/ box</t>
  </si>
  <si>
    <t>20 pieces @ P55/ piece</t>
  </si>
  <si>
    <t>1 box @ P1,320/ box</t>
  </si>
  <si>
    <t>30 reams @ P275/ ream</t>
  </si>
  <si>
    <t>25 reams @ P280/ ream</t>
  </si>
  <si>
    <t>100 rolls @ P38/ roll</t>
  </si>
  <si>
    <t>20 pieces @ P44/ piece</t>
  </si>
  <si>
    <t>20 packs @ P 60/ pack</t>
  </si>
  <si>
    <t>5 books @ P150/ book</t>
  </si>
  <si>
    <t>6 box @ P20/ box</t>
  </si>
  <si>
    <t>6 box @ P50/ box</t>
  </si>
  <si>
    <t>SEMI-OFFICE EQUIPMENT</t>
  </si>
  <si>
    <t>SEMI-ICT EQUIPMENT</t>
  </si>
  <si>
    <t>2 unit @P20,000/ unit</t>
  </si>
  <si>
    <t>1 unit @P5,000/ unit</t>
  </si>
  <si>
    <t>SEMI-FURNITURE &amp; FIXTURES</t>
  </si>
  <si>
    <t>OTHER SUPPLIES AND MATERIALS</t>
  </si>
  <si>
    <t>OTHER MOOE</t>
  </si>
  <si>
    <t>Services</t>
  </si>
  <si>
    <t>100 bottles @P150/ bottle</t>
  </si>
  <si>
    <t>10 packs @P250/ pack</t>
  </si>
  <si>
    <t>10 packs @P150/ pack</t>
  </si>
  <si>
    <t>1 piece @P2,500/ piece</t>
  </si>
  <si>
    <t>3 pieces @P1,500/ piece</t>
  </si>
  <si>
    <t>10 pieces @P700/ piece</t>
  </si>
  <si>
    <t>50 boxes @P170/ box</t>
  </si>
  <si>
    <t>100 rolls @ P70/ roll</t>
  </si>
  <si>
    <t>50 lots @ P1,000/ lot</t>
  </si>
  <si>
    <t>60 pieces @P50/ piece</t>
  </si>
  <si>
    <t>2 pieces @500/ piece</t>
  </si>
  <si>
    <t>100 pieces @30/ piece</t>
  </si>
  <si>
    <t>35 pieces @P300/ piece</t>
  </si>
  <si>
    <t>MWPTD ACTIVITIES</t>
  </si>
  <si>
    <t>REPRESENTATION EXPENSES</t>
  </si>
  <si>
    <t>160 pax @ 1000/ pax</t>
  </si>
  <si>
    <t>50 bottles @P300/ bottle</t>
  </si>
  <si>
    <t>46 pieces @P200/ piece</t>
  </si>
  <si>
    <t>90 pieces @P170/ piece</t>
  </si>
  <si>
    <t>15 pax @1000/ pax</t>
  </si>
  <si>
    <t>25 pieces @150/ piece</t>
  </si>
  <si>
    <t>25 pieces @1000/ piece</t>
  </si>
  <si>
    <t>5 pieces @150/ piece</t>
  </si>
  <si>
    <t>5 pieces @1000/ piece</t>
  </si>
  <si>
    <t xml:space="preserve">3. MOA Facilitation with LGU and MOA Signing </t>
  </si>
  <si>
    <t>300 pax @1000/ pax</t>
  </si>
  <si>
    <t>PRINTING AND BINDING EXPENSES</t>
  </si>
  <si>
    <t>250 sq ft @P20/ sq ft</t>
  </si>
  <si>
    <t>PROCUREMENT PROJECT DETAILS</t>
  </si>
  <si>
    <t>PROJECTED TIMELINE (MM/YYYY)</t>
  </si>
  <si>
    <t>FUNDING DETAILS</t>
  </si>
  <si>
    <t xml:space="preserve">     ICT OFFICE SUPPLIES EXPENSES</t>
  </si>
  <si>
    <t xml:space="preserve">          INK Refill
            Color: Black
            Unit: Bottle, 65mL
            Good for EPSON L3250 Printer</t>
  </si>
  <si>
    <t xml:space="preserve">         INK Refill
           Color: Cyan
           Unit: Bottle, 65mL
           Good for EPSON L3250 Printer</t>
  </si>
  <si>
    <t xml:space="preserve">         INK Refill
           Color: Magenta
           Unit: Bottle, 65mL
           Good for EPSON L3250 Printer</t>
  </si>
  <si>
    <t xml:space="preserve">        INK Refill
          Color: Yellow
          Unit: Bottle, 65mL
          Good for EPSON L3250 Printer</t>
  </si>
  <si>
    <t xml:space="preserve">        INK Refill
          Color: Black
          Unit: Bottle, 65mL
          Good for EPSON L5290 Printer</t>
  </si>
  <si>
    <t xml:space="preserve">        INK Refill
          Color: Cyan
          Unit: Bottle, 65mL
          Good for EPSON L5290 Printer</t>
  </si>
  <si>
    <t xml:space="preserve">       INK Refill
         Color: Magenta
         Unit: Bottle, 65mL
         Good for EPSON L5290 Printer</t>
  </si>
  <si>
    <t xml:space="preserve">      INK Refill
        Color: Yellow
        Unit: Bottle, 65mL
        Good for EPSON L5290 Printer</t>
  </si>
  <si>
    <t xml:space="preserve">     OFFICE SUPPLIES EXPENSES</t>
  </si>
  <si>
    <t>1. Conduct of Capacity Enhancement Training  for PESO Managers, Law Enforcers, and Community Leaders</t>
  </si>
  <si>
    <t>2. Conduct of Capacity Enhancement Training for DMW Inspectors</t>
  </si>
  <si>
    <t>April 2026</t>
  </si>
  <si>
    <t>May 2026</t>
  </si>
  <si>
    <r>
      <t xml:space="preserve">                      </t>
    </r>
    <r>
      <rPr>
        <b/>
        <sz val="11"/>
        <color theme="1"/>
        <rFont val="Arial"/>
        <family val="2"/>
      </rPr>
      <t>Paper</t>
    </r>
    <r>
      <rPr>
        <sz val="11"/>
        <color theme="1"/>
        <rFont val="Arial"/>
        <family val="2"/>
      </rPr>
      <t xml:space="preserve">
                              Type: Bondpaper
                              Size: A4
                              80gsm
                              Unit: Ream</t>
    </r>
  </si>
  <si>
    <r>
      <rPr>
        <b/>
        <sz val="11"/>
        <color theme="1"/>
        <rFont val="Arial"/>
        <family val="2"/>
      </rPr>
      <t xml:space="preserve">                      Paper</t>
    </r>
    <r>
      <rPr>
        <sz val="11"/>
        <color theme="1"/>
        <rFont val="Arial"/>
        <family val="2"/>
      </rPr>
      <t xml:space="preserve">
                              Type: Bondpaper
                              Size: Legal
                              80gsm
                              Unit: Ream</t>
    </r>
  </si>
  <si>
    <r>
      <rPr>
        <b/>
        <sz val="11"/>
        <color theme="1"/>
        <rFont val="Arial"/>
        <family val="2"/>
      </rPr>
      <t xml:space="preserve">                      Ballpen</t>
    </r>
    <r>
      <rPr>
        <sz val="11"/>
        <color theme="1"/>
        <rFont val="Arial"/>
        <family val="2"/>
      </rPr>
      <t xml:space="preserve">
                               Color: Black, Needle Point: .07mm, 12 pcs per box</t>
    </r>
  </si>
  <si>
    <r>
      <rPr>
        <b/>
        <sz val="11"/>
        <color theme="1"/>
        <rFont val="Arial"/>
        <family val="2"/>
      </rPr>
      <t xml:space="preserve">                      Sign Pen</t>
    </r>
    <r>
      <rPr>
        <sz val="11"/>
        <color theme="1"/>
        <rFont val="Arial"/>
        <family val="2"/>
      </rPr>
      <t xml:space="preserve">
                               Color: Black, Needle Point: .05mm</t>
    </r>
  </si>
  <si>
    <r>
      <rPr>
        <b/>
        <sz val="11"/>
        <color theme="1"/>
        <rFont val="Arial"/>
        <family val="2"/>
      </rPr>
      <t xml:space="preserve">                     Sign Pen</t>
    </r>
    <r>
      <rPr>
        <sz val="11"/>
        <color theme="1"/>
        <rFont val="Arial"/>
        <family val="2"/>
      </rPr>
      <t xml:space="preserve">
                              Color: Blue, Needle Point: .05mm</t>
    </r>
  </si>
  <si>
    <r>
      <rPr>
        <b/>
        <sz val="11"/>
        <color theme="1"/>
        <rFont val="Arial"/>
        <family val="2"/>
      </rPr>
      <t xml:space="preserve">                     Sign Pen</t>
    </r>
    <r>
      <rPr>
        <sz val="11"/>
        <color theme="1"/>
        <rFont val="Arial"/>
        <family val="2"/>
      </rPr>
      <t xml:space="preserve">
                              Color: Red, Needle Point: .05mm</t>
    </r>
  </si>
  <si>
    <r>
      <rPr>
        <b/>
        <sz val="11"/>
        <color theme="1"/>
        <rFont val="Arial"/>
        <family val="2"/>
      </rPr>
      <t xml:space="preserve">                     Tape</t>
    </r>
    <r>
      <rPr>
        <sz val="11"/>
        <color theme="1"/>
        <rFont val="Arial"/>
        <family val="2"/>
      </rPr>
      <t xml:space="preserve">
                              transparent, 1 inch</t>
    </r>
  </si>
  <si>
    <r>
      <rPr>
        <b/>
        <sz val="11"/>
        <color theme="1"/>
        <rFont val="Arial"/>
        <family val="2"/>
      </rPr>
      <t xml:space="preserve">                     Staple Wire</t>
    </r>
    <r>
      <rPr>
        <sz val="11"/>
        <color theme="1"/>
        <rFont val="Arial"/>
        <family val="2"/>
      </rPr>
      <t xml:space="preserve">
                              -STANDARD, (26/6) or No.35, full strip staples
                              -5000 wires per box
                              -No. of wires per strip 100</t>
    </r>
  </si>
  <si>
    <r>
      <t xml:space="preserve">                     </t>
    </r>
    <r>
      <rPr>
        <b/>
        <sz val="11"/>
        <color theme="1"/>
        <rFont val="Arial"/>
        <family val="2"/>
      </rPr>
      <t>Correction Tape</t>
    </r>
    <r>
      <rPr>
        <sz val="11"/>
        <color theme="1"/>
        <rFont val="Arial"/>
        <family val="2"/>
      </rPr>
      <t xml:space="preserve">
                               Color: Random, Plastic, 5mm wide 8m long</t>
    </r>
  </si>
  <si>
    <r>
      <rPr>
        <b/>
        <sz val="11"/>
        <color theme="1"/>
        <rFont val="Arial"/>
        <family val="2"/>
      </rPr>
      <t xml:space="preserve">                     Sticky Notes</t>
    </r>
    <r>
      <rPr>
        <sz val="11"/>
        <color theme="1"/>
        <rFont val="Arial"/>
        <family val="2"/>
      </rPr>
      <t xml:space="preserve">
                               "Sign Here", Size: 45mm x 12mm</t>
    </r>
  </si>
  <si>
    <r>
      <rPr>
        <b/>
        <sz val="11"/>
        <color theme="1"/>
        <rFont val="Arial"/>
        <family val="2"/>
      </rPr>
      <t xml:space="preserve">                     Record Book</t>
    </r>
    <r>
      <rPr>
        <sz val="11"/>
        <color theme="1"/>
        <rFont val="Arial"/>
        <family val="2"/>
      </rPr>
      <t xml:space="preserve">
                               500 Pages, Size: 214mm x 278mm min</t>
    </r>
  </si>
  <si>
    <r>
      <rPr>
        <b/>
        <sz val="11"/>
        <color theme="1"/>
        <rFont val="Arial"/>
        <family val="2"/>
      </rPr>
      <t xml:space="preserve">                     Clip</t>
    </r>
    <r>
      <rPr>
        <sz val="11"/>
        <color theme="1"/>
        <rFont val="Arial"/>
        <family val="2"/>
      </rPr>
      <t xml:space="preserve">
                               backfold, 25mm</t>
    </r>
  </si>
  <si>
    <r>
      <rPr>
        <b/>
        <sz val="11"/>
        <color theme="1"/>
        <rFont val="Arial"/>
        <family val="2"/>
      </rPr>
      <t xml:space="preserve">                     Paper Clip</t>
    </r>
    <r>
      <rPr>
        <sz val="11"/>
        <color theme="1"/>
        <rFont val="Arial"/>
        <family val="2"/>
      </rPr>
      <t xml:space="preserve">
                               vinyl/ plastic coated, 33mm, 100 pcs per box
</t>
    </r>
  </si>
  <si>
    <r>
      <rPr>
        <b/>
        <sz val="11"/>
        <color theme="1"/>
        <rFont val="Arial"/>
        <family val="2"/>
      </rPr>
      <t xml:space="preserve">                  External Hard Drive</t>
    </r>
    <r>
      <rPr>
        <sz val="11"/>
        <color theme="1"/>
        <rFont val="Arial"/>
        <family val="2"/>
      </rPr>
      <t xml:space="preserve">
                            Capacity: 1TB
                            USB: 3.0</t>
    </r>
  </si>
  <si>
    <r>
      <rPr>
        <b/>
        <sz val="11"/>
        <color theme="1"/>
        <rFont val="Arial"/>
        <family val="2"/>
      </rPr>
      <t xml:space="preserve">                Alcohol</t>
    </r>
    <r>
      <rPr>
        <sz val="11"/>
        <color theme="1"/>
        <rFont val="Arial"/>
        <family val="2"/>
      </rPr>
      <t xml:space="preserve">
                           Ethyl, 500ml</t>
    </r>
  </si>
  <si>
    <r>
      <rPr>
        <b/>
        <sz val="11"/>
        <color theme="1"/>
        <rFont val="Arial"/>
        <family val="2"/>
      </rPr>
      <t xml:space="preserve">                Air Freshener</t>
    </r>
    <r>
      <rPr>
        <sz val="11"/>
        <color theme="1"/>
        <rFont val="Arial"/>
        <family val="2"/>
      </rPr>
      <t xml:space="preserve">
                          280ml</t>
    </r>
  </si>
  <si>
    <r>
      <rPr>
        <b/>
        <sz val="11"/>
        <color theme="1"/>
        <rFont val="Arial"/>
        <family val="2"/>
      </rPr>
      <t xml:space="preserve">                Battery</t>
    </r>
    <r>
      <rPr>
        <sz val="11"/>
        <color theme="1"/>
        <rFont val="Arial"/>
        <family val="2"/>
      </rPr>
      <t xml:space="preserve">
                           Dry Cell, AA, 1.5 volts, alkaline, 2 piece per pack</t>
    </r>
  </si>
  <si>
    <r>
      <rPr>
        <b/>
        <sz val="11"/>
        <color theme="1"/>
        <rFont val="Arial"/>
        <family val="2"/>
      </rPr>
      <t xml:space="preserve">                Battery</t>
    </r>
    <r>
      <rPr>
        <sz val="11"/>
        <color theme="1"/>
        <rFont val="Arial"/>
        <family val="2"/>
      </rPr>
      <t xml:space="preserve">
                           Dry Cell, AAA, 1.5 volts, alkaline, 2 piece per pack</t>
    </r>
  </si>
  <si>
    <r>
      <rPr>
        <b/>
        <sz val="11"/>
        <color theme="1"/>
        <rFont val="Arial"/>
        <family val="2"/>
      </rPr>
      <t xml:space="preserve">                Certificate Holder</t>
    </r>
    <r>
      <rPr>
        <sz val="11"/>
        <color theme="1"/>
        <rFont val="Arial"/>
        <family val="2"/>
      </rPr>
      <t xml:space="preserve">
                          Holder/jacket.
                          Material: plastic (transparent)
                          Size: A4</t>
    </r>
  </si>
  <si>
    <r>
      <rPr>
        <b/>
        <sz val="11"/>
        <color theme="1"/>
        <rFont val="Arial"/>
        <family val="2"/>
      </rPr>
      <t xml:space="preserve">              Disinfectant Spray</t>
    </r>
    <r>
      <rPr>
        <sz val="11"/>
        <color theme="1"/>
        <rFont val="Arial"/>
        <family val="2"/>
      </rPr>
      <t xml:space="preserve">
                         70%–75% alcohol content or quaternary ammonium compounds</t>
    </r>
  </si>
  <si>
    <r>
      <rPr>
        <b/>
        <sz val="11"/>
        <color theme="1"/>
        <rFont val="Arial"/>
        <family val="2"/>
      </rPr>
      <t xml:space="preserve">              Double Sided Tape</t>
    </r>
    <r>
      <rPr>
        <sz val="11"/>
        <color theme="1"/>
        <rFont val="Arial"/>
        <family val="2"/>
      </rPr>
      <t xml:space="preserve">
                         Foam, 24mm</t>
    </r>
  </si>
  <si>
    <r>
      <rPr>
        <b/>
        <sz val="11"/>
        <color theme="1"/>
        <rFont val="Arial"/>
        <family val="2"/>
      </rPr>
      <t xml:space="preserve">              Glue Gun</t>
    </r>
    <r>
      <rPr>
        <sz val="11"/>
        <color theme="1"/>
        <rFont val="Arial"/>
        <family val="2"/>
      </rPr>
      <t xml:space="preserve">
                        Heavy Duty Power: 150W
                        Voltage: 240V
                        Glue Stick Diameter: 7mm</t>
    </r>
  </si>
  <si>
    <r>
      <rPr>
        <b/>
        <sz val="11"/>
        <color theme="1"/>
        <rFont val="Arial"/>
        <family val="2"/>
      </rPr>
      <t xml:space="preserve">              Glue Stick</t>
    </r>
    <r>
      <rPr>
        <sz val="11"/>
        <color theme="1"/>
        <rFont val="Arial"/>
        <family val="2"/>
      </rPr>
      <t xml:space="preserve">
                        Diameter 7mm</t>
    </r>
  </si>
  <si>
    <r>
      <rPr>
        <b/>
        <sz val="11"/>
        <color theme="1"/>
        <rFont val="Arial"/>
        <family val="2"/>
      </rPr>
      <t xml:space="preserve">              Hand Sanitizer</t>
    </r>
    <r>
      <rPr>
        <sz val="11"/>
        <color theme="1"/>
        <rFont val="Arial"/>
        <family val="2"/>
      </rPr>
      <t xml:space="preserve">
                        Liquid Gel
                        Alcohol 75%
                        500ml</t>
    </r>
  </si>
  <si>
    <r>
      <rPr>
        <b/>
        <sz val="11"/>
        <color theme="1"/>
        <rFont val="Arial"/>
        <family val="2"/>
      </rPr>
      <t xml:space="preserve">            Tissue</t>
    </r>
    <r>
      <rPr>
        <sz val="11"/>
        <color theme="1"/>
        <rFont val="Arial"/>
        <family val="2"/>
      </rPr>
      <t xml:space="preserve">
                      Toilet Tissue Paper, 2ply</t>
    </r>
  </si>
  <si>
    <r>
      <rPr>
        <b/>
        <sz val="11"/>
        <color theme="1"/>
        <rFont val="Arial"/>
        <family val="2"/>
      </rPr>
      <t xml:space="preserve">            Postage and Courier Services</t>
    </r>
    <r>
      <rPr>
        <sz val="11"/>
        <color theme="1"/>
        <rFont val="Arial"/>
        <family val="2"/>
      </rPr>
      <t xml:space="preserve">
                      Shipping Fee</t>
    </r>
  </si>
  <si>
    <r>
      <rPr>
        <b/>
        <sz val="11"/>
        <color theme="1"/>
        <rFont val="Arial"/>
        <family val="2"/>
      </rPr>
      <t xml:space="preserve">            Gift Bag </t>
    </r>
    <r>
      <rPr>
        <sz val="11"/>
        <color theme="1"/>
        <rFont val="Arial"/>
        <family val="2"/>
      </rPr>
      <t xml:space="preserve">
                       Kraft bag with design for the token</t>
    </r>
  </si>
  <si>
    <r>
      <rPr>
        <b/>
        <sz val="11"/>
        <color theme="1"/>
        <rFont val="Arial"/>
        <family val="2"/>
      </rPr>
      <t xml:space="preserve">            Token</t>
    </r>
    <r>
      <rPr>
        <sz val="11"/>
        <color theme="1"/>
        <rFont val="Arial"/>
        <family val="2"/>
      </rPr>
      <t xml:space="preserve">
                       Tumbler</t>
    </r>
  </si>
  <si>
    <r>
      <rPr>
        <b/>
        <sz val="11"/>
        <color theme="1"/>
        <rFont val="Arial"/>
        <family val="2"/>
      </rPr>
      <t xml:space="preserve">            Tarpaulin Printing</t>
    </r>
    <r>
      <rPr>
        <sz val="11"/>
        <color theme="1"/>
        <rFont val="Arial"/>
        <family val="2"/>
      </rPr>
      <t xml:space="preserve">
                      Thickness: 15oz</t>
    </r>
  </si>
  <si>
    <r>
      <rPr>
        <b/>
        <sz val="11"/>
        <color theme="1"/>
        <rFont val="Arial"/>
        <family val="2"/>
      </rPr>
      <t xml:space="preserve">            Gift Bag </t>
    </r>
    <r>
      <rPr>
        <sz val="11"/>
        <color theme="1"/>
        <rFont val="Arial"/>
        <family val="2"/>
      </rPr>
      <t xml:space="preserve">
                        Kraft bag with design for the token</t>
    </r>
  </si>
  <si>
    <r>
      <rPr>
        <b/>
        <sz val="11"/>
        <color theme="1"/>
        <rFont val="Arial"/>
        <family val="2"/>
      </rPr>
      <t xml:space="preserve">            Token</t>
    </r>
    <r>
      <rPr>
        <sz val="11"/>
        <color theme="1"/>
        <rFont val="Arial"/>
        <family val="2"/>
      </rPr>
      <t xml:space="preserve">
                        Tumbler</t>
    </r>
  </si>
  <si>
    <r>
      <rPr>
        <b/>
        <sz val="11"/>
        <color theme="1"/>
        <rFont val="Arial"/>
        <family val="2"/>
      </rPr>
      <t xml:space="preserve">            Tarpaulin Printing</t>
    </r>
    <r>
      <rPr>
        <sz val="11"/>
        <color theme="1"/>
        <rFont val="Arial"/>
        <family val="2"/>
      </rPr>
      <t xml:space="preserve">
                         Thickness: 15oz</t>
    </r>
  </si>
  <si>
    <r>
      <rPr>
        <b/>
        <sz val="11"/>
        <color theme="1"/>
        <rFont val="Arial"/>
        <family val="2"/>
      </rPr>
      <t xml:space="preserve">            Tarpaulin Printing</t>
    </r>
    <r>
      <rPr>
        <sz val="11"/>
        <color theme="1"/>
        <rFont val="Arial"/>
        <family val="2"/>
      </rPr>
      <t xml:space="preserve">
                        Thickness: 15oz</t>
    </r>
  </si>
  <si>
    <r>
      <rPr>
        <b/>
        <sz val="11"/>
        <color theme="1"/>
        <rFont val="Arial"/>
        <family val="2"/>
      </rPr>
      <t xml:space="preserve">                     Data Folder</t>
    </r>
    <r>
      <rPr>
        <sz val="11"/>
        <color theme="1"/>
        <rFont val="Arial"/>
        <family val="2"/>
      </rPr>
      <t xml:space="preserve">
                               Materials: made of chipboard, 2.5mm thick, Dimension 
                               (WxHxL): 75mm  (3") x 230mm (9") x 380mm (15"). With all 
                               steel lever arch file mechanism and taglia lock</t>
    </r>
  </si>
  <si>
    <r>
      <rPr>
        <b/>
        <sz val="11"/>
        <color theme="1"/>
        <rFont val="Arial"/>
        <family val="2"/>
      </rPr>
      <t xml:space="preserve">                     Envelope</t>
    </r>
    <r>
      <rPr>
        <sz val="11"/>
        <color theme="1"/>
        <rFont val="Arial"/>
        <family val="2"/>
      </rPr>
      <t xml:space="preserve">
                               EXPANDING, KRAFT for legal size document, with string and 
                               eyelet or elastic strap, 100 pieces per box.</t>
    </r>
  </si>
  <si>
    <r>
      <rPr>
        <b/>
        <sz val="11"/>
        <color theme="1"/>
        <rFont val="Arial"/>
        <family val="2"/>
      </rPr>
      <t xml:space="preserve">                    Tablet</t>
    </r>
    <r>
      <rPr>
        <sz val="11"/>
        <color theme="1"/>
        <rFont val="Arial"/>
        <family val="2"/>
      </rPr>
      <t xml:space="preserve">
                            Operating System: at least Android 14, HyperOS
                            Body: 30.7cm (12.1") 120Hz 2k Display Type: IPS LCD, 68B 
                            color, 120Hz, 600 nits (peak) Resolution: Minimum of 1600 x 
                            2560 pixels,  PROCESSOR CPU: at least Octa-core (4x2.4 
                           GHz Cortex-A78 &amp; 4x1.95 GHz  Cortex-A55) 
                            GPU: Atleast Adreno 710 Chipset: Alteast Snapdragon 7s Gen 
                            2 (4nm)  
                            Battery: Atleast 10000 mAhUSB: USB Type-C 2.0</t>
    </r>
  </si>
  <si>
    <r>
      <rPr>
        <b/>
        <sz val="11"/>
        <color theme="1"/>
        <rFont val="Arial"/>
        <family val="2"/>
      </rPr>
      <t xml:space="preserve">               Digital Clock</t>
    </r>
    <r>
      <rPr>
        <sz val="11"/>
        <color theme="1"/>
        <rFont val="Arial"/>
        <family val="2"/>
      </rPr>
      <t xml:space="preserve">
                          Chess Clock Digital Clock Dimension: 13.5 cm x 9.5cm x 4.5cm 
                          Weight: 135g Presentable count up/ countdown timer Maximum 
                         10 hours with alarm</t>
    </r>
  </si>
  <si>
    <r>
      <rPr>
        <b/>
        <sz val="11"/>
        <color theme="1"/>
        <rFont val="Arial"/>
        <family val="2"/>
      </rPr>
      <t xml:space="preserve">              Extension Wire</t>
    </r>
    <r>
      <rPr>
        <sz val="11"/>
        <color theme="1"/>
        <rFont val="Arial"/>
        <family val="2"/>
      </rPr>
      <t xml:space="preserve">
                        4 gang universal outlet, AC 110-250 volts, 10A-16A, 2500W-
                        3000W. 5 meters in length</t>
    </r>
  </si>
  <si>
    <r>
      <rPr>
        <b/>
        <sz val="11"/>
        <color theme="1"/>
        <rFont val="Arial"/>
        <family val="2"/>
      </rPr>
      <t xml:space="preserve">             Stamp</t>
    </r>
    <r>
      <rPr>
        <sz val="11"/>
        <color theme="1"/>
        <rFont val="Arial"/>
        <family val="2"/>
      </rPr>
      <t xml:space="preserve">
                       Material Type: Plastic
                       Plate Size: 1.5"x0.5' with border, size must be maintained with 
                       border.</t>
    </r>
  </si>
  <si>
    <r>
      <rPr>
        <b/>
        <sz val="11"/>
        <color theme="1"/>
        <rFont val="Arial"/>
        <family val="2"/>
      </rPr>
      <t xml:space="preserve">            Tissue</t>
    </r>
    <r>
      <rPr>
        <sz val="11"/>
        <color theme="1"/>
        <rFont val="Arial"/>
        <family val="2"/>
      </rPr>
      <t xml:space="preserve">
                      Facial tissue, 2-ply, 250 pulls, 500 sheets, large box, soft, and 
                      highly absorbent</t>
    </r>
  </si>
  <si>
    <r>
      <rPr>
        <b/>
        <sz val="11"/>
        <color theme="1"/>
        <rFont val="Arial"/>
        <family val="2"/>
      </rPr>
      <t xml:space="preserve">            Meals and Snacks</t>
    </r>
    <r>
      <rPr>
        <sz val="11"/>
        <color theme="1"/>
        <rFont val="Arial"/>
        <family val="2"/>
      </rPr>
      <t xml:space="preserve">
                       AM Snacks, PM Snacks with flowing coffee and free use of venue 
                       for 3 days</t>
    </r>
  </si>
  <si>
    <r>
      <rPr>
        <b/>
        <sz val="11"/>
        <color theme="1"/>
        <rFont val="Arial"/>
        <family val="2"/>
      </rPr>
      <t xml:space="preserve">             Meals and Snacks</t>
    </r>
    <r>
      <rPr>
        <sz val="11"/>
        <color theme="1"/>
        <rFont val="Arial"/>
        <family val="2"/>
      </rPr>
      <t xml:space="preserve">
                        AM Snacks, PM Snacks with flowing coffee and free use of venue 
                        for 1 day</t>
    </r>
  </si>
  <si>
    <r>
      <rPr>
        <b/>
        <sz val="11"/>
        <color theme="1"/>
        <rFont val="Arial"/>
        <family val="2"/>
      </rPr>
      <t xml:space="preserve">             Meals and Snacks</t>
    </r>
    <r>
      <rPr>
        <sz val="11"/>
        <color theme="1"/>
        <rFont val="Arial"/>
        <family val="2"/>
      </rPr>
      <t xml:space="preserve">
                         AM Snacks, PM Snacks with flowing coffee and free use of
                         venue for 1 day</t>
    </r>
  </si>
  <si>
    <t>PROJECT PROCUREMENT MANAGEMENT PLAN (PPMP) NO. 0001</t>
  </si>
  <si>
    <t>INDICATIVE</t>
  </si>
  <si>
    <t>FINAL</t>
  </si>
  <si>
    <r>
      <t xml:space="preserve">END-USER OR IMPLEMENTING UNIT: </t>
    </r>
    <r>
      <rPr>
        <b/>
        <u/>
        <sz val="16"/>
        <color theme="1"/>
        <rFont val="Arial"/>
        <family val="2"/>
      </rPr>
      <t>MIGRANT WORKERS PROTECTION DIVISION</t>
    </r>
  </si>
  <si>
    <r>
      <t xml:space="preserve">FISCAL YEAR: </t>
    </r>
    <r>
      <rPr>
        <b/>
        <u/>
        <sz val="16"/>
        <color theme="1"/>
        <rFont val="Arial"/>
        <family val="2"/>
      </rPr>
      <t>2026</t>
    </r>
  </si>
  <si>
    <t>Prepared by:</t>
  </si>
  <si>
    <t>Submitted by:</t>
  </si>
  <si>
    <t>REGIENALD S. ESPALDON, CPA</t>
  </si>
  <si>
    <t>Date : _________________</t>
  </si>
  <si>
    <t>APPLE MAE C. TANDOY</t>
  </si>
  <si>
    <t>Labor and Employment Officer III</t>
  </si>
  <si>
    <t>OIC - ARD / CAO</t>
  </si>
  <si>
    <t>Small Value Procurement</t>
  </si>
  <si>
    <r>
      <rPr>
        <b/>
        <sz val="11"/>
        <color theme="1"/>
        <rFont val="Arial"/>
        <family val="2"/>
      </rPr>
      <t xml:space="preserve">                 Pedestal</t>
    </r>
    <r>
      <rPr>
        <sz val="11"/>
        <color theme="1"/>
        <rFont val="Arial"/>
        <family val="2"/>
      </rPr>
      <t xml:space="preserve">
                            Type: Steel
                            Size: Width: 39cm, Depth: 52cm, Height: 60cm
                            Materials: Made of 0.6mm thick cold-rolled steel sheet in 
                            powder coated finish with 16 inches metal drawer slide, 38mm
                            dia. Nylon wheel castor
                            Color: Grey
                            Weight Capacity: 20kgs/drawer</t>
    </r>
  </si>
  <si>
    <t>PRINTING AND PUBLICATION</t>
  </si>
  <si>
    <r>
      <rPr>
        <b/>
        <sz val="11"/>
        <color theme="1"/>
        <rFont val="Arial"/>
        <family val="2"/>
      </rPr>
      <t xml:space="preserve">                   Stackable chair metal base</t>
    </r>
    <r>
      <rPr>
        <sz val="11"/>
        <color theme="1"/>
        <rFont val="Arial"/>
        <family val="2"/>
      </rPr>
      <t xml:space="preserve">
                       </t>
    </r>
  </si>
  <si>
    <r>
      <rPr>
        <b/>
        <sz val="11"/>
        <color theme="1"/>
        <rFont val="Arial"/>
        <family val="2"/>
      </rPr>
      <t xml:space="preserve">                   Binding and Punching Machine with Ring Binder</t>
    </r>
    <r>
      <rPr>
        <sz val="11"/>
        <color theme="1"/>
        <rFont val="Arial"/>
        <family val="2"/>
      </rPr>
      <t xml:space="preserve">
                             Equipping with two (2) hand lever system for punching and
                             binding 330mm punching width and adjustable to any format, 
                             diameter, gauge and comb binder control
                             Individual adjustable punching dies with variable margin depth
                             Manual binding capacity: 50mm or 425 sheets of paper
                             (70gsm)</t>
    </r>
  </si>
  <si>
    <t>5 pieces @ P275/ piece</t>
  </si>
  <si>
    <r>
      <rPr>
        <b/>
        <sz val="11"/>
        <color theme="1"/>
        <rFont val="Arial"/>
        <family val="2"/>
      </rPr>
      <t xml:space="preserve">                     Parchment Paper (Elit)</t>
    </r>
    <r>
      <rPr>
        <sz val="11"/>
        <color theme="1"/>
        <rFont val="Arial"/>
        <family val="2"/>
      </rPr>
      <t xml:space="preserve">
                               Size:  A4
                               80 gsm
                              Unit: Pack
                              No. of pieces per pack: 10pcs</t>
    </r>
  </si>
  <si>
    <r>
      <rPr>
        <b/>
        <sz val="11"/>
        <color theme="1"/>
        <rFont val="Arial"/>
        <family val="2"/>
      </rPr>
      <t xml:space="preserve">                    Single Size Certificate Holder</t>
    </r>
    <r>
      <rPr>
        <sz val="11"/>
        <color theme="1"/>
        <rFont val="Arial"/>
        <family val="2"/>
      </rPr>
      <t xml:space="preserve">
                             Size: A4
                             Color: Dark blue
</t>
    </r>
  </si>
  <si>
    <t>10 pack @ P65/pack</t>
  </si>
  <si>
    <t>15 box @ P85/ piece</t>
  </si>
  <si>
    <r>
      <rPr>
        <b/>
        <sz val="11"/>
        <rFont val="Arial"/>
        <family val="2"/>
      </rPr>
      <t xml:space="preserve">                     Stapler</t>
    </r>
    <r>
      <rPr>
        <sz val="11"/>
        <rFont val="Arial"/>
        <family val="2"/>
      </rPr>
      <t xml:space="preserve">
                               STANDARD TYPE: load cap: 200 staples min with staple 
                               remover</t>
    </r>
  </si>
  <si>
    <t>10 unit @P1,100/ unit</t>
  </si>
  <si>
    <t>1 unit @ P34,000/ unit</t>
  </si>
  <si>
    <t>10 unit @P5000/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</si>
</sst>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4" x14ac:knownFonts="1">
    <font>
      <sz val="11"/>
      <color theme="1"/>
      <name val="Calibri"/>
      <family val="2"/>
      <scheme val="minor"/>
    </font>
    <font>
      <i/>
      <sz val="14"/>
      <color theme="1"/>
      <name val="Arial"/>
      <family val="2"/>
    </font>
    <font>
      <sz val="16"/>
      <color theme="1"/>
      <name val="Arial"/>
      <family val="2"/>
    </font>
    <font>
      <sz val="8"/>
      <name val="Calibri"/>
      <family val="2"/>
      <scheme val="minor"/>
    </font>
    <font>
      <b/>
      <sz val="16"/>
      <color theme="1"/>
      <name val="Arial"/>
      <family val="2"/>
    </font>
    <font>
      <sz val="10"/>
      <name val="Arial"/>
      <family val="2"/>
    </font>
    <font>
      <sz val="12"/>
      <color rgb="FF002060"/>
      <name val="Arial"/>
      <family val="2"/>
    </font>
    <font>
      <sz val="14"/>
      <color rgb="FF002060"/>
      <name val="Arial"/>
      <family val="2"/>
    </font>
    <font>
      <sz val="11"/>
      <color theme="1"/>
      <name val="Arial"/>
      <family val="2"/>
    </font>
    <font>
      <b/>
      <sz val="11"/>
      <color theme="1"/>
      <name val="Arial"/>
      <family val="2"/>
    </font>
    <font>
      <sz val="11"/>
      <color rgb="FF002060"/>
      <name val="Arial"/>
      <family val="2"/>
    </font>
    <font>
      <b/>
      <sz val="20"/>
      <color theme="1"/>
      <name val="Arial"/>
      <family val="2"/>
    </font>
    <font>
      <sz val="20"/>
      <color theme="1"/>
      <name val="Calibri"/>
      <family val="2"/>
      <scheme val="minor"/>
    </font>
    <font>
      <b/>
      <u/>
      <sz val="16"/>
      <color theme="1"/>
      <name val="Arial"/>
      <family val="2"/>
    </font>
    <font>
      <sz val="11"/>
      <color theme="1"/>
      <name val="Segoe UI Emoji"/>
      <family val="2"/>
    </font>
    <font>
      <sz val="15"/>
      <color theme="1"/>
      <name val="Arial"/>
      <family val="2"/>
    </font>
    <font>
      <sz val="10"/>
      <color theme="1"/>
      <name val="Arial"/>
      <family val="2"/>
    </font>
    <font>
      <b/>
      <sz val="15"/>
      <color theme="1"/>
      <name val="Arial"/>
      <family val="2"/>
    </font>
    <font>
      <sz val="11"/>
      <color theme="1"/>
      <name val="Calibri"/>
      <family val="2"/>
      <scheme val="minor"/>
    </font>
    <font>
      <sz val="11"/>
      <color rgb="FFFF0000"/>
      <name val="Arial"/>
      <family val="2"/>
    </font>
    <font>
      <sz val="11"/>
      <color rgb="FFFF0000"/>
      <name val="Calibri"/>
      <family val="2"/>
      <scheme val="minor"/>
    </font>
    <font>
      <sz val="11"/>
      <name val="Arial"/>
      <family val="2"/>
    </font>
    <font>
      <b/>
      <sz val="11"/>
      <name val="Arial"/>
      <family val="2"/>
    </font>
    <font>
      <sz val="1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theme="4" tint="0.79998168889431442"/>
        <bgColor indexed="64"/>
      </patternFill>
    </fill>
    <fill>
      <patternFill patternType="solid">
        <fgColor rgb="FFFFFF00"/>
        <bgColor indexed="64"/>
      </patternFill>
    </fill>
    <fill>
      <patternFill patternType="solid">
        <fgColor rgb="FFFF00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2">
    <xf numFmtId="0" fontId="0" fillId="0" borderId="0"/>
    <xf numFmtId="164" fontId="18" fillId="0" borderId="0" applyFont="0" applyFill="0" applyBorder="0" applyAlignment="0" applyProtection="0"/>
  </cellStyleXfs>
  <cellXfs count="56">
    <xf numFmtId="0" fontId="0" fillId="0" borderId="0" xfId="0"/>
    <xf numFmtId="0" fontId="1" fillId="0" borderId="1" xfId="0" applyFont="1" applyBorder="1" applyAlignment="1">
      <alignment vertical="center" wrapText="1"/>
    </xf>
    <xf numFmtId="0" fontId="2" fillId="0" borderId="0" xfId="0" applyFont="1"/>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0" fillId="0" borderId="0" xfId="0" applyAlignment="1">
      <alignment wrapText="1"/>
    </xf>
    <xf numFmtId="49" fontId="0" fillId="0" borderId="0" xfId="0" applyNumberFormat="1" applyAlignment="1">
      <alignment wrapText="1"/>
    </xf>
    <xf numFmtId="49" fontId="4" fillId="0" borderId="1" xfId="0" applyNumberFormat="1" applyFont="1" applyBorder="1" applyAlignment="1">
      <alignment horizontal="center" vertical="center" wrapText="1"/>
    </xf>
    <xf numFmtId="0" fontId="2" fillId="4" borderId="1" xfId="0" applyFont="1" applyFill="1" applyBorder="1"/>
    <xf numFmtId="0" fontId="6" fillId="0" borderId="1" xfId="0" applyFont="1" applyBorder="1"/>
    <xf numFmtId="0" fontId="1" fillId="0" borderId="1" xfId="0" applyFont="1" applyBorder="1" applyAlignment="1">
      <alignment horizontal="left" vertical="center" wrapText="1"/>
    </xf>
    <xf numFmtId="0" fontId="7" fillId="0" borderId="1" xfId="0" applyFont="1" applyBorder="1" applyAlignment="1">
      <alignment vertical="center" wrapText="1"/>
    </xf>
    <xf numFmtId="0" fontId="2" fillId="4" borderId="1" xfId="0" applyFont="1" applyFill="1" applyBorder="1" applyAlignment="1">
      <alignment wrapText="1"/>
    </xf>
    <xf numFmtId="0" fontId="8" fillId="3" borderId="1" xfId="0" applyFont="1" applyFill="1" applyBorder="1"/>
    <xf numFmtId="0" fontId="8" fillId="3" borderId="1" xfId="0" applyFont="1" applyFill="1" applyBorder="1" applyAlignment="1">
      <alignment wrapText="1"/>
    </xf>
    <xf numFmtId="49" fontId="8" fillId="3" borderId="1" xfId="0" applyNumberFormat="1" applyFont="1" applyFill="1" applyBorder="1" applyAlignment="1">
      <alignment wrapText="1"/>
    </xf>
    <xf numFmtId="0" fontId="8" fillId="3" borderId="1" xfId="0" applyFont="1" applyFill="1" applyBorder="1" applyAlignment="1">
      <alignment horizontal="left" wrapText="1"/>
    </xf>
    <xf numFmtId="0" fontId="8" fillId="0" borderId="1" xfId="0" applyFont="1" applyBorder="1" applyAlignment="1">
      <alignment wrapText="1"/>
    </xf>
    <xf numFmtId="49" fontId="8" fillId="0" borderId="1" xfId="0" applyNumberFormat="1" applyFont="1" applyBorder="1" applyAlignment="1">
      <alignment wrapText="1"/>
    </xf>
    <xf numFmtId="0" fontId="10" fillId="0" borderId="1" xfId="0" applyFont="1" applyBorder="1" applyAlignment="1">
      <alignment wrapText="1"/>
    </xf>
    <xf numFmtId="0" fontId="14" fillId="0" borderId="0" xfId="0" applyFont="1" applyAlignment="1">
      <alignment horizontal="justify" vertical="center"/>
    </xf>
    <xf numFmtId="0" fontId="15" fillId="0" borderId="0" xfId="0" applyFont="1" applyAlignment="1">
      <alignment vertical="center"/>
    </xf>
    <xf numFmtId="0" fontId="16" fillId="0" borderId="0" xfId="0" applyFont="1" applyAlignment="1">
      <alignment vertical="center" wrapText="1"/>
    </xf>
    <xf numFmtId="0" fontId="16" fillId="0" borderId="0" xfId="0" applyFont="1" applyAlignment="1">
      <alignment vertical="center"/>
    </xf>
    <xf numFmtId="0" fontId="17" fillId="0" borderId="2" xfId="0" applyFont="1" applyBorder="1" applyAlignment="1">
      <alignment horizontal="center" vertical="center"/>
    </xf>
    <xf numFmtId="0" fontId="15" fillId="0" borderId="0" xfId="0" applyFont="1" applyAlignment="1">
      <alignment horizontal="center" vertical="center"/>
    </xf>
    <xf numFmtId="0" fontId="19" fillId="0" borderId="1" xfId="0" applyFont="1" applyBorder="1" applyAlignment="1">
      <alignment wrapText="1"/>
    </xf>
    <xf numFmtId="49" fontId="19" fillId="0" borderId="1" xfId="0" applyNumberFormat="1" applyFont="1" applyBorder="1" applyAlignment="1">
      <alignment wrapText="1"/>
    </xf>
    <xf numFmtId="0" fontId="20" fillId="0" borderId="0" xfId="0" applyFont="1"/>
    <xf numFmtId="0" fontId="21" fillId="0" borderId="1" xfId="0" applyFont="1" applyBorder="1" applyAlignment="1">
      <alignment wrapText="1"/>
    </xf>
    <xf numFmtId="49" fontId="21" fillId="0" borderId="1" xfId="0" applyNumberFormat="1" applyFont="1" applyBorder="1" applyAlignment="1">
      <alignment wrapText="1"/>
    </xf>
    <xf numFmtId="0" fontId="23" fillId="0" borderId="0" xfId="0" applyFont="1"/>
    <xf numFmtId="0" fontId="0" fillId="0" borderId="0" xfId="0" applyAlignment="1">
      <alignment horizontal="left" wrapText="1"/>
    </xf>
    <xf numFmtId="0" fontId="4" fillId="0" borderId="1" xfId="0" applyFont="1" applyBorder="1" applyAlignment="1">
      <alignment horizontal="left" vertical="center" wrapText="1"/>
    </xf>
    <xf numFmtId="0" fontId="8" fillId="0" borderId="1" xfId="0" applyFont="1" applyBorder="1" applyAlignment="1">
      <alignment horizontal="left" wrapText="1"/>
    </xf>
    <xf numFmtId="164" fontId="8" fillId="0" borderId="1" xfId="1" applyFont="1" applyFill="1" applyBorder="1" applyAlignment="1">
      <alignment horizontal="left" wrapText="1"/>
    </xf>
    <xf numFmtId="164" fontId="21" fillId="0" borderId="1" xfId="1" applyFont="1" applyFill="1" applyBorder="1" applyAlignment="1">
      <alignment horizontal="left" wrapText="1"/>
    </xf>
    <xf numFmtId="164" fontId="19" fillId="0" borderId="1" xfId="1" applyFont="1" applyFill="1" applyBorder="1" applyAlignment="1">
      <alignment horizontal="left" wrapText="1"/>
    </xf>
    <xf numFmtId="0" fontId="15" fillId="0" borderId="0" xfId="0" applyFont="1" applyAlignment="1">
      <alignment vertical="center"/>
    </xf>
    <xf numFmtId="0" fontId="0" fillId="0" borderId="0" xfId="0"/>
    <xf numFmtId="0" fontId="16" fillId="0" borderId="0" xfId="0" applyFont="1" applyAlignment="1">
      <alignment vertical="center"/>
    </xf>
    <xf numFmtId="0" fontId="11" fillId="0" borderId="0" xfId="0" applyFont="1" applyAlignment="1">
      <alignment horizontal="center" vertical="center" wrapText="1"/>
    </xf>
    <xf numFmtId="0" fontId="12" fillId="0" borderId="0" xfId="0" applyFont="1" applyAlignment="1">
      <alignment horizontal="center"/>
    </xf>
    <xf numFmtId="0" fontId="11" fillId="0" borderId="0" xfId="0" applyFont="1" applyAlignment="1">
      <alignment horizontal="center" wrapText="1"/>
    </xf>
    <xf numFmtId="0" fontId="17" fillId="0" borderId="2" xfId="0" applyFont="1" applyBorder="1" applyAlignment="1">
      <alignment horizontal="center" vertical="center"/>
    </xf>
    <xf numFmtId="0" fontId="5" fillId="0" borderId="2" xfId="0" applyFont="1" applyBorder="1"/>
    <xf numFmtId="0" fontId="15" fillId="0" borderId="3" xfId="0" applyFont="1" applyBorder="1" applyAlignment="1">
      <alignment horizontal="center" vertical="center"/>
    </xf>
    <xf numFmtId="0" fontId="5" fillId="0" borderId="3" xfId="0" applyFont="1" applyBorder="1"/>
    <xf numFmtId="0" fontId="4" fillId="0" borderId="1" xfId="0" applyFont="1" applyBorder="1" applyAlignment="1">
      <alignment horizontal="center" vertical="center" wrapText="1"/>
    </xf>
    <xf numFmtId="0" fontId="5" fillId="0" borderId="1" xfId="0" applyFont="1" applyBorder="1"/>
    <xf numFmtId="0" fontId="4" fillId="0" borderId="1" xfId="0" applyFont="1" applyBorder="1" applyAlignment="1">
      <alignment horizontal="center" vertical="center"/>
    </xf>
    <xf numFmtId="0" fontId="8" fillId="5" borderId="1" xfId="0" applyFont="1" applyFill="1" applyBorder="1" applyAlignment="1">
      <alignment wrapText="1"/>
    </xf>
    <xf numFmtId="49" fontId="8" fillId="5" borderId="1" xfId="0" applyNumberFormat="1" applyFont="1" applyFill="1" applyBorder="1" applyAlignment="1">
      <alignment wrapText="1"/>
    </xf>
    <xf numFmtId="164" fontId="8" fillId="5" borderId="1" xfId="1" applyFont="1" applyFill="1" applyBorder="1" applyAlignment="1">
      <alignment horizontal="left" wrapText="1"/>
    </xf>
    <xf numFmtId="0" fontId="0" fillId="5" borderId="0" xfId="0" applyFill="1"/>
    <xf numFmtId="0" fontId="10" fillId="5" borderId="1" xfId="0" applyFont="1" applyFill="1"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2282975</xdr:colOff>
      <xdr:row>0</xdr:row>
      <xdr:rowOff>0</xdr:rowOff>
    </xdr:from>
    <xdr:ext cx="11258550" cy="2057400"/>
    <xdr:pic>
      <xdr:nvPicPr>
        <xdr:cNvPr id="3" name="image1.png" title="Image">
          <a:extLst>
            <a:ext uri="{FF2B5EF4-FFF2-40B4-BE49-F238E27FC236}">
              <a16:creationId xmlns:a16="http://schemas.microsoft.com/office/drawing/2014/main" id="{17904D66-95A7-406A-B571-A6F845BA506A}"/>
            </a:ext>
          </a:extLst>
        </xdr:cNvPr>
        <xdr:cNvPicPr preferRelativeResize="0"/>
      </xdr:nvPicPr>
      <xdr:blipFill>
        <a:blip xmlns:r="http://schemas.openxmlformats.org/officeDocument/2006/relationships" r:embed="rId1" cstate="print"/>
        <a:stretch>
          <a:fillRect/>
        </a:stretch>
      </xdr:blipFill>
      <xdr:spPr>
        <a:xfrm>
          <a:off x="7423451" y="0"/>
          <a:ext cx="11258550" cy="2057400"/>
        </a:xfrm>
        <a:prstGeom prst="rect">
          <a:avLst/>
        </a:prstGeom>
        <a:noFill/>
      </xdr:spPr>
    </xdr:pic>
    <xdr:clientData fLocksWithSheet="0"/>
  </xdr:oneCellAnchor>
  <xdr:twoCellAnchor>
    <xdr:from>
      <xdr:col>3</xdr:col>
      <xdr:colOff>1862667</xdr:colOff>
      <xdr:row>14</xdr:row>
      <xdr:rowOff>84667</xdr:rowOff>
    </xdr:from>
    <xdr:to>
      <xdr:col>3</xdr:col>
      <xdr:colOff>2134447</xdr:colOff>
      <xdr:row>16</xdr:row>
      <xdr:rowOff>4798</xdr:rowOff>
    </xdr:to>
    <xdr:sp macro="" textlink="">
      <xdr:nvSpPr>
        <xdr:cNvPr id="4" name="Rectangle 3">
          <a:extLst>
            <a:ext uri="{FF2B5EF4-FFF2-40B4-BE49-F238E27FC236}">
              <a16:creationId xmlns:a16="http://schemas.microsoft.com/office/drawing/2014/main" id="{07DFD766-5555-D974-DE03-B33D1E660ADC}"/>
            </a:ext>
          </a:extLst>
        </xdr:cNvPr>
        <xdr:cNvSpPr/>
      </xdr:nvSpPr>
      <xdr:spPr>
        <a:xfrm>
          <a:off x="10929056" y="2652889"/>
          <a:ext cx="271780" cy="28702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PH"/>
        </a:p>
      </xdr:txBody>
    </xdr:sp>
    <xdr:clientData/>
  </xdr:twoCellAnchor>
  <xdr:twoCellAnchor>
    <xdr:from>
      <xdr:col>6</xdr:col>
      <xdr:colOff>63501</xdr:colOff>
      <xdr:row>14</xdr:row>
      <xdr:rowOff>77612</xdr:rowOff>
    </xdr:from>
    <xdr:to>
      <xdr:col>6</xdr:col>
      <xdr:colOff>335281</xdr:colOff>
      <xdr:row>15</xdr:row>
      <xdr:rowOff>181187</xdr:rowOff>
    </xdr:to>
    <xdr:sp macro="" textlink="">
      <xdr:nvSpPr>
        <xdr:cNvPr id="5" name="Rectangle 4">
          <a:extLst>
            <a:ext uri="{FF2B5EF4-FFF2-40B4-BE49-F238E27FC236}">
              <a16:creationId xmlns:a16="http://schemas.microsoft.com/office/drawing/2014/main" id="{183A8470-314D-02B5-9AC1-D6C3087194CE}"/>
            </a:ext>
          </a:extLst>
        </xdr:cNvPr>
        <xdr:cNvSpPr/>
      </xdr:nvSpPr>
      <xdr:spPr>
        <a:xfrm>
          <a:off x="14724945" y="2645834"/>
          <a:ext cx="271780" cy="28702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r>
            <a:rPr lang="en-PH"/>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3C56-E7C6-4A27-BF26-FE0A058F933B}">
  <sheetPr codeName="Sheet1">
    <pageSetUpPr fitToPage="1"/>
  </sheetPr>
  <dimension ref="A12:L116"/>
  <sheetViews>
    <sheetView tabSelected="1" topLeftCell="A23" zoomScale="56" zoomScaleNormal="56" workbookViewId="0">
      <pane xSplit="1" ySplit="2" topLeftCell="C76" activePane="bottomRight" state="frozen"/>
      <selection activeCell="A23" sqref="A23"/>
      <selection pane="topRight" activeCell="B23" sqref="B23"/>
      <selection pane="bottomLeft" activeCell="A25" sqref="A25"/>
      <selection pane="bottomRight" activeCell="J90" sqref="J90"/>
    </sheetView>
  </sheetViews>
  <sheetFormatPr defaultColWidth="8.81640625" defaultRowHeight="14.5" x14ac:dyDescent="0.35"/>
  <cols>
    <col min="1" max="1" width="73.6328125" customWidth="1"/>
    <col min="2" max="2" width="36" style="5" customWidth="1"/>
    <col min="3" max="3" width="20.1796875" style="5" customWidth="1"/>
    <col min="4" max="4" width="31.1796875" style="5" customWidth="1"/>
    <col min="5" max="5" width="23.6328125" style="5" customWidth="1"/>
    <col min="6" max="8" width="25.36328125" style="6" customWidth="1"/>
    <col min="9" max="9" width="31.1796875" style="6" customWidth="1"/>
    <col min="10" max="10" width="37.453125" style="32" customWidth="1"/>
    <col min="11" max="12" width="22.36328125" style="5" customWidth="1"/>
  </cols>
  <sheetData>
    <row r="12" spans="1:12" x14ac:dyDescent="0.35">
      <c r="A12" s="41" t="s">
        <v>141</v>
      </c>
      <c r="B12" s="42"/>
      <c r="C12" s="42"/>
      <c r="D12" s="42"/>
      <c r="E12" s="42"/>
      <c r="F12" s="42"/>
      <c r="G12" s="42"/>
      <c r="H12" s="42"/>
      <c r="I12" s="42"/>
      <c r="J12" s="42"/>
      <c r="K12" s="42"/>
      <c r="L12" s="42"/>
    </row>
    <row r="13" spans="1:12" x14ac:dyDescent="0.35">
      <c r="A13" s="42"/>
      <c r="B13" s="42"/>
      <c r="C13" s="42"/>
      <c r="D13" s="42"/>
      <c r="E13" s="42"/>
      <c r="F13" s="42"/>
      <c r="G13" s="42"/>
      <c r="H13" s="42"/>
      <c r="I13" s="42"/>
      <c r="J13" s="42"/>
      <c r="K13" s="42"/>
      <c r="L13" s="42"/>
    </row>
    <row r="15" spans="1:12" x14ac:dyDescent="0.35">
      <c r="E15" s="43" t="s">
        <v>142</v>
      </c>
      <c r="G15" s="43" t="s">
        <v>143</v>
      </c>
    </row>
    <row r="16" spans="1:12" x14ac:dyDescent="0.35">
      <c r="E16" s="43"/>
      <c r="G16" s="43"/>
    </row>
    <row r="19" spans="1:12" ht="20" x14ac:dyDescent="0.4">
      <c r="A19" s="2" t="s">
        <v>145</v>
      </c>
      <c r="G19" s="20"/>
    </row>
    <row r="20" spans="1:12" ht="20" x14ac:dyDescent="0.4">
      <c r="A20" s="2" t="s">
        <v>144</v>
      </c>
    </row>
    <row r="22" spans="1:12" ht="20" customHeight="1" x14ac:dyDescent="0.35">
      <c r="A22" s="48" t="s">
        <v>81</v>
      </c>
      <c r="B22" s="49"/>
      <c r="C22" s="49"/>
      <c r="D22" s="49"/>
      <c r="E22" s="49"/>
      <c r="F22" s="48" t="s">
        <v>82</v>
      </c>
      <c r="G22" s="49"/>
      <c r="H22" s="49"/>
      <c r="I22" s="50" t="s">
        <v>83</v>
      </c>
      <c r="J22" s="49"/>
      <c r="K22" s="48" t="s">
        <v>23</v>
      </c>
      <c r="L22" s="48" t="s">
        <v>24</v>
      </c>
    </row>
    <row r="23" spans="1:12" ht="100" x14ac:dyDescent="0.35">
      <c r="A23" s="3" t="s">
        <v>13</v>
      </c>
      <c r="B23" s="3" t="s">
        <v>14</v>
      </c>
      <c r="C23" s="4" t="s">
        <v>15</v>
      </c>
      <c r="D23" s="3" t="s">
        <v>16</v>
      </c>
      <c r="E23" s="3" t="s">
        <v>17</v>
      </c>
      <c r="F23" s="7" t="s">
        <v>18</v>
      </c>
      <c r="G23" s="7" t="s">
        <v>19</v>
      </c>
      <c r="H23" s="7" t="s">
        <v>20</v>
      </c>
      <c r="I23" s="7" t="s">
        <v>21</v>
      </c>
      <c r="J23" s="33" t="s">
        <v>22</v>
      </c>
      <c r="K23" s="49"/>
      <c r="L23" s="49"/>
    </row>
    <row r="24" spans="1:12" ht="14.5" customHeight="1" x14ac:dyDescent="0.35">
      <c r="A24" s="13" t="s">
        <v>1</v>
      </c>
      <c r="B24" s="14" t="s">
        <v>2</v>
      </c>
      <c r="C24" s="14" t="s">
        <v>3</v>
      </c>
      <c r="D24" s="14" t="s">
        <v>4</v>
      </c>
      <c r="E24" s="14" t="s">
        <v>5</v>
      </c>
      <c r="F24" s="15" t="s">
        <v>6</v>
      </c>
      <c r="G24" s="15" t="s">
        <v>7</v>
      </c>
      <c r="H24" s="15" t="s">
        <v>8</v>
      </c>
      <c r="I24" s="15" t="s">
        <v>9</v>
      </c>
      <c r="J24" s="34" t="s">
        <v>10</v>
      </c>
      <c r="K24" s="16" t="s">
        <v>11</v>
      </c>
      <c r="L24" s="16" t="s">
        <v>12</v>
      </c>
    </row>
    <row r="25" spans="1:12" ht="20" x14ac:dyDescent="0.4">
      <c r="A25" s="8" t="s">
        <v>0</v>
      </c>
      <c r="B25" s="17"/>
      <c r="C25" s="17"/>
      <c r="D25" s="17"/>
      <c r="E25" s="17"/>
      <c r="F25" s="18"/>
      <c r="G25" s="18"/>
      <c r="H25" s="18"/>
      <c r="I25" s="18"/>
      <c r="J25" s="34"/>
      <c r="K25" s="17"/>
      <c r="L25" s="17"/>
    </row>
    <row r="26" spans="1:12" ht="23" customHeight="1" x14ac:dyDescent="0.35">
      <c r="A26" s="9" t="s">
        <v>84</v>
      </c>
      <c r="B26" s="17"/>
      <c r="C26" s="17"/>
      <c r="D26" s="17"/>
      <c r="E26" s="17"/>
      <c r="F26" s="18"/>
      <c r="G26" s="18"/>
      <c r="H26" s="18"/>
      <c r="I26" s="18"/>
      <c r="J26" s="34"/>
      <c r="K26" s="17"/>
      <c r="L26" s="17"/>
    </row>
    <row r="27" spans="1:12" ht="70" x14ac:dyDescent="0.35">
      <c r="A27" s="10" t="s">
        <v>85</v>
      </c>
      <c r="B27" s="17" t="s">
        <v>25</v>
      </c>
      <c r="C27" s="17" t="s">
        <v>26</v>
      </c>
      <c r="D27" s="17" t="s">
        <v>153</v>
      </c>
      <c r="E27" s="17" t="s">
        <v>27</v>
      </c>
      <c r="F27" s="18" t="s">
        <v>28</v>
      </c>
      <c r="G27" s="18" t="s">
        <v>29</v>
      </c>
      <c r="H27" s="18" t="s">
        <v>30</v>
      </c>
      <c r="I27" s="18" t="s">
        <v>31</v>
      </c>
      <c r="J27" s="35">
        <v>13750</v>
      </c>
      <c r="K27" s="17"/>
      <c r="L27" s="17"/>
    </row>
    <row r="28" spans="1:12" ht="70" x14ac:dyDescent="0.35">
      <c r="A28" s="1" t="s">
        <v>86</v>
      </c>
      <c r="B28" s="17" t="s">
        <v>25</v>
      </c>
      <c r="C28" s="17" t="s">
        <v>26</v>
      </c>
      <c r="D28" s="17" t="s">
        <v>153</v>
      </c>
      <c r="E28" s="17" t="s">
        <v>27</v>
      </c>
      <c r="F28" s="18" t="s">
        <v>28</v>
      </c>
      <c r="G28" s="18" t="s">
        <v>29</v>
      </c>
      <c r="H28" s="18" t="s">
        <v>30</v>
      </c>
      <c r="I28" s="18" t="s">
        <v>31</v>
      </c>
      <c r="J28" s="35">
        <v>13750</v>
      </c>
      <c r="K28" s="17"/>
      <c r="L28" s="17"/>
    </row>
    <row r="29" spans="1:12" ht="70" x14ac:dyDescent="0.35">
      <c r="A29" s="1" t="s">
        <v>87</v>
      </c>
      <c r="B29" s="17" t="s">
        <v>25</v>
      </c>
      <c r="C29" s="17" t="s">
        <v>26</v>
      </c>
      <c r="D29" s="17" t="s">
        <v>153</v>
      </c>
      <c r="E29" s="17" t="s">
        <v>27</v>
      </c>
      <c r="F29" s="18" t="s">
        <v>28</v>
      </c>
      <c r="G29" s="18" t="s">
        <v>29</v>
      </c>
      <c r="H29" s="18" t="s">
        <v>30</v>
      </c>
      <c r="I29" s="18" t="s">
        <v>31</v>
      </c>
      <c r="J29" s="35">
        <v>13750</v>
      </c>
      <c r="K29" s="17"/>
      <c r="L29" s="17"/>
    </row>
    <row r="30" spans="1:12" ht="70" x14ac:dyDescent="0.35">
      <c r="A30" s="1" t="s">
        <v>88</v>
      </c>
      <c r="B30" s="17" t="s">
        <v>25</v>
      </c>
      <c r="C30" s="17" t="s">
        <v>26</v>
      </c>
      <c r="D30" s="17" t="s">
        <v>153</v>
      </c>
      <c r="E30" s="17" t="s">
        <v>27</v>
      </c>
      <c r="F30" s="18" t="s">
        <v>28</v>
      </c>
      <c r="G30" s="18" t="s">
        <v>29</v>
      </c>
      <c r="H30" s="18" t="s">
        <v>30</v>
      </c>
      <c r="I30" s="18" t="s">
        <v>31</v>
      </c>
      <c r="J30" s="35">
        <v>13750</v>
      </c>
      <c r="K30" s="17"/>
      <c r="L30" s="17"/>
    </row>
    <row r="31" spans="1:12" ht="70" x14ac:dyDescent="0.35">
      <c r="A31" s="1" t="s">
        <v>89</v>
      </c>
      <c r="B31" s="17" t="s">
        <v>25</v>
      </c>
      <c r="C31" s="17" t="s">
        <v>26</v>
      </c>
      <c r="D31" s="17" t="s">
        <v>153</v>
      </c>
      <c r="E31" s="17" t="s">
        <v>27</v>
      </c>
      <c r="F31" s="18" t="s">
        <v>28</v>
      </c>
      <c r="G31" s="18" t="s">
        <v>29</v>
      </c>
      <c r="H31" s="18" t="s">
        <v>30</v>
      </c>
      <c r="I31" s="18" t="s">
        <v>31</v>
      </c>
      <c r="J31" s="35">
        <v>13750</v>
      </c>
      <c r="K31" s="17"/>
      <c r="L31" s="17"/>
    </row>
    <row r="32" spans="1:12" ht="70" x14ac:dyDescent="0.35">
      <c r="A32" s="1" t="s">
        <v>90</v>
      </c>
      <c r="B32" s="17" t="s">
        <v>25</v>
      </c>
      <c r="C32" s="17" t="s">
        <v>26</v>
      </c>
      <c r="D32" s="17" t="s">
        <v>153</v>
      </c>
      <c r="E32" s="17" t="s">
        <v>27</v>
      </c>
      <c r="F32" s="18" t="s">
        <v>28</v>
      </c>
      <c r="G32" s="18" t="s">
        <v>29</v>
      </c>
      <c r="H32" s="18" t="s">
        <v>30</v>
      </c>
      <c r="I32" s="18" t="s">
        <v>31</v>
      </c>
      <c r="J32" s="35">
        <v>13750</v>
      </c>
      <c r="K32" s="17"/>
      <c r="L32" s="17"/>
    </row>
    <row r="33" spans="1:12" ht="70" x14ac:dyDescent="0.35">
      <c r="A33" s="1" t="s">
        <v>91</v>
      </c>
      <c r="B33" s="17" t="s">
        <v>25</v>
      </c>
      <c r="C33" s="17" t="s">
        <v>26</v>
      </c>
      <c r="D33" s="17" t="s">
        <v>153</v>
      </c>
      <c r="E33" s="17" t="s">
        <v>27</v>
      </c>
      <c r="F33" s="18" t="s">
        <v>28</v>
      </c>
      <c r="G33" s="18" t="s">
        <v>29</v>
      </c>
      <c r="H33" s="18" t="s">
        <v>30</v>
      </c>
      <c r="I33" s="18" t="s">
        <v>31</v>
      </c>
      <c r="J33" s="35">
        <v>13750</v>
      </c>
      <c r="K33" s="17"/>
      <c r="L33" s="17"/>
    </row>
    <row r="34" spans="1:12" ht="70" x14ac:dyDescent="0.35">
      <c r="A34" s="1" t="s">
        <v>92</v>
      </c>
      <c r="B34" s="17" t="s">
        <v>25</v>
      </c>
      <c r="C34" s="17" t="s">
        <v>26</v>
      </c>
      <c r="D34" s="17" t="s">
        <v>153</v>
      </c>
      <c r="E34" s="17" t="s">
        <v>27</v>
      </c>
      <c r="F34" s="18" t="s">
        <v>28</v>
      </c>
      <c r="G34" s="18" t="s">
        <v>29</v>
      </c>
      <c r="H34" s="18" t="s">
        <v>30</v>
      </c>
      <c r="I34" s="18" t="s">
        <v>31</v>
      </c>
      <c r="J34" s="35">
        <v>13750</v>
      </c>
      <c r="K34" s="17"/>
      <c r="L34" s="17"/>
    </row>
    <row r="35" spans="1:12" ht="17.5" x14ac:dyDescent="0.35">
      <c r="A35" s="11" t="s">
        <v>93</v>
      </c>
      <c r="B35" s="17"/>
      <c r="C35" s="17"/>
      <c r="D35" s="17"/>
      <c r="E35" s="17"/>
      <c r="F35" s="18"/>
      <c r="G35" s="18"/>
      <c r="H35" s="18"/>
      <c r="I35" s="18"/>
      <c r="J35" s="34"/>
      <c r="K35" s="17"/>
      <c r="L35" s="17"/>
    </row>
    <row r="36" spans="1:12" ht="70.5" x14ac:dyDescent="0.35">
      <c r="A36" s="17" t="s">
        <v>98</v>
      </c>
      <c r="B36" s="17" t="s">
        <v>25</v>
      </c>
      <c r="C36" s="17" t="s">
        <v>37</v>
      </c>
      <c r="D36" s="17" t="s">
        <v>153</v>
      </c>
      <c r="E36" s="17" t="s">
        <v>27</v>
      </c>
      <c r="F36" s="18" t="s">
        <v>28</v>
      </c>
      <c r="G36" s="18" t="s">
        <v>29</v>
      </c>
      <c r="H36" s="18" t="s">
        <v>30</v>
      </c>
      <c r="I36" s="18" t="s">
        <v>31</v>
      </c>
      <c r="J36" s="35">
        <v>8250</v>
      </c>
      <c r="K36" s="17"/>
      <c r="L36" s="17"/>
    </row>
    <row r="37" spans="1:12" ht="70.5" x14ac:dyDescent="0.35">
      <c r="A37" s="17" t="s">
        <v>99</v>
      </c>
      <c r="B37" s="17" t="s">
        <v>25</v>
      </c>
      <c r="C37" s="17" t="s">
        <v>38</v>
      </c>
      <c r="D37" s="17" t="s">
        <v>153</v>
      </c>
      <c r="E37" s="17" t="s">
        <v>27</v>
      </c>
      <c r="F37" s="18" t="s">
        <v>28</v>
      </c>
      <c r="G37" s="18" t="s">
        <v>29</v>
      </c>
      <c r="H37" s="18" t="s">
        <v>30</v>
      </c>
      <c r="I37" s="18" t="s">
        <v>31</v>
      </c>
      <c r="J37" s="35">
        <v>7000</v>
      </c>
      <c r="K37" s="17"/>
      <c r="L37" s="17"/>
    </row>
    <row r="38" spans="1:12" ht="56.5" x14ac:dyDescent="0.35">
      <c r="A38" s="17" t="s">
        <v>131</v>
      </c>
      <c r="B38" s="17" t="s">
        <v>25</v>
      </c>
      <c r="C38" s="17" t="s">
        <v>32</v>
      </c>
      <c r="D38" s="17" t="s">
        <v>153</v>
      </c>
      <c r="E38" s="17" t="s">
        <v>27</v>
      </c>
      <c r="F38" s="18" t="s">
        <v>28</v>
      </c>
      <c r="G38" s="18" t="s">
        <v>29</v>
      </c>
      <c r="H38" s="18" t="s">
        <v>30</v>
      </c>
      <c r="I38" s="18" t="s">
        <v>31</v>
      </c>
      <c r="J38" s="35">
        <v>2200</v>
      </c>
      <c r="K38" s="17"/>
      <c r="L38" s="17"/>
    </row>
    <row r="39" spans="1:12" ht="28.5" x14ac:dyDescent="0.35">
      <c r="A39" s="17" t="s">
        <v>100</v>
      </c>
      <c r="B39" s="17" t="s">
        <v>25</v>
      </c>
      <c r="C39" s="17" t="s">
        <v>33</v>
      </c>
      <c r="D39" s="17" t="s">
        <v>153</v>
      </c>
      <c r="E39" s="17" t="s">
        <v>27</v>
      </c>
      <c r="F39" s="18" t="s">
        <v>28</v>
      </c>
      <c r="G39" s="18" t="s">
        <v>29</v>
      </c>
      <c r="H39" s="18" t="s">
        <v>30</v>
      </c>
      <c r="I39" s="18" t="s">
        <v>31</v>
      </c>
      <c r="J39" s="35">
        <v>1920</v>
      </c>
      <c r="K39" s="17"/>
      <c r="L39" s="17"/>
    </row>
    <row r="40" spans="1:12" ht="28.5" x14ac:dyDescent="0.35">
      <c r="A40" s="17" t="s">
        <v>101</v>
      </c>
      <c r="B40" s="17" t="s">
        <v>25</v>
      </c>
      <c r="C40" s="17" t="s">
        <v>40</v>
      </c>
      <c r="D40" s="17" t="s">
        <v>153</v>
      </c>
      <c r="E40" s="17" t="s">
        <v>27</v>
      </c>
      <c r="F40" s="18" t="s">
        <v>28</v>
      </c>
      <c r="G40" s="18" t="s">
        <v>29</v>
      </c>
      <c r="H40" s="18" t="s">
        <v>30</v>
      </c>
      <c r="I40" s="18" t="s">
        <v>31</v>
      </c>
      <c r="J40" s="35">
        <v>880</v>
      </c>
      <c r="K40" s="17"/>
      <c r="L40" s="17"/>
    </row>
    <row r="41" spans="1:12" ht="28.5" x14ac:dyDescent="0.35">
      <c r="A41" s="17" t="s">
        <v>102</v>
      </c>
      <c r="B41" s="17" t="s">
        <v>25</v>
      </c>
      <c r="C41" s="17" t="s">
        <v>40</v>
      </c>
      <c r="D41" s="17" t="s">
        <v>153</v>
      </c>
      <c r="E41" s="17" t="s">
        <v>27</v>
      </c>
      <c r="F41" s="18" t="s">
        <v>28</v>
      </c>
      <c r="G41" s="18" t="s">
        <v>29</v>
      </c>
      <c r="H41" s="18" t="s">
        <v>30</v>
      </c>
      <c r="I41" s="18" t="s">
        <v>31</v>
      </c>
      <c r="J41" s="35">
        <v>880</v>
      </c>
      <c r="K41" s="17"/>
      <c r="L41" s="17"/>
    </row>
    <row r="42" spans="1:12" ht="28.5" x14ac:dyDescent="0.35">
      <c r="A42" s="17" t="s">
        <v>103</v>
      </c>
      <c r="B42" s="17" t="s">
        <v>25</v>
      </c>
      <c r="C42" s="17" t="s">
        <v>40</v>
      </c>
      <c r="D42" s="17" t="s">
        <v>153</v>
      </c>
      <c r="E42" s="17" t="s">
        <v>27</v>
      </c>
      <c r="F42" s="18" t="s">
        <v>28</v>
      </c>
      <c r="G42" s="18" t="s">
        <v>29</v>
      </c>
      <c r="H42" s="18" t="s">
        <v>30</v>
      </c>
      <c r="I42" s="18" t="s">
        <v>31</v>
      </c>
      <c r="J42" s="35">
        <v>880</v>
      </c>
      <c r="K42" s="17"/>
      <c r="L42" s="17"/>
    </row>
    <row r="43" spans="1:12" ht="28.5" x14ac:dyDescent="0.35">
      <c r="A43" s="17" t="s">
        <v>104</v>
      </c>
      <c r="B43" s="17" t="s">
        <v>25</v>
      </c>
      <c r="C43" s="17" t="s">
        <v>39</v>
      </c>
      <c r="D43" s="17" t="s">
        <v>153</v>
      </c>
      <c r="E43" s="17" t="s">
        <v>27</v>
      </c>
      <c r="F43" s="18" t="s">
        <v>28</v>
      </c>
      <c r="G43" s="18" t="s">
        <v>29</v>
      </c>
      <c r="H43" s="18" t="s">
        <v>30</v>
      </c>
      <c r="I43" s="18" t="s">
        <v>31</v>
      </c>
      <c r="J43" s="35">
        <v>3800</v>
      </c>
      <c r="K43" s="17"/>
      <c r="L43" s="17"/>
    </row>
    <row r="44" spans="1:12" ht="56.5" x14ac:dyDescent="0.35">
      <c r="A44" s="17" t="s">
        <v>105</v>
      </c>
      <c r="B44" s="17" t="s">
        <v>25</v>
      </c>
      <c r="C44" s="17" t="s">
        <v>34</v>
      </c>
      <c r="D44" s="17" t="s">
        <v>153</v>
      </c>
      <c r="E44" s="17" t="s">
        <v>27</v>
      </c>
      <c r="F44" s="18" t="s">
        <v>28</v>
      </c>
      <c r="G44" s="18" t="s">
        <v>29</v>
      </c>
      <c r="H44" s="18" t="s">
        <v>30</v>
      </c>
      <c r="I44" s="18" t="s">
        <v>31</v>
      </c>
      <c r="J44" s="35">
        <v>1100</v>
      </c>
      <c r="K44" s="17"/>
      <c r="L44" s="17"/>
    </row>
    <row r="45" spans="1:12" s="31" customFormat="1" ht="42.5" x14ac:dyDescent="0.35">
      <c r="A45" s="29" t="s">
        <v>163</v>
      </c>
      <c r="B45" s="29" t="s">
        <v>25</v>
      </c>
      <c r="C45" s="29" t="s">
        <v>158</v>
      </c>
      <c r="D45" s="29" t="s">
        <v>153</v>
      </c>
      <c r="E45" s="29" t="s">
        <v>27</v>
      </c>
      <c r="F45" s="30" t="s">
        <v>28</v>
      </c>
      <c r="G45" s="30" t="s">
        <v>29</v>
      </c>
      <c r="H45" s="30" t="s">
        <v>30</v>
      </c>
      <c r="I45" s="30" t="s">
        <v>31</v>
      </c>
      <c r="J45" s="36">
        <v>1375</v>
      </c>
      <c r="K45" s="29"/>
      <c r="L45" s="29"/>
    </row>
    <row r="46" spans="1:12" ht="28.5" x14ac:dyDescent="0.35">
      <c r="A46" s="17" t="s">
        <v>106</v>
      </c>
      <c r="B46" s="17" t="s">
        <v>25</v>
      </c>
      <c r="C46" s="17" t="s">
        <v>35</v>
      </c>
      <c r="D46" s="17" t="s">
        <v>153</v>
      </c>
      <c r="E46" s="17" t="s">
        <v>27</v>
      </c>
      <c r="F46" s="18" t="s">
        <v>28</v>
      </c>
      <c r="G46" s="18" t="s">
        <v>29</v>
      </c>
      <c r="H46" s="18" t="s">
        <v>30</v>
      </c>
      <c r="I46" s="18" t="s">
        <v>31</v>
      </c>
      <c r="J46" s="35">
        <v>1100</v>
      </c>
      <c r="K46" s="17"/>
      <c r="L46" s="17"/>
    </row>
    <row r="47" spans="1:12" ht="28.5" x14ac:dyDescent="0.35">
      <c r="A47" s="17" t="s">
        <v>107</v>
      </c>
      <c r="B47" s="17" t="s">
        <v>25</v>
      </c>
      <c r="C47" s="17" t="s">
        <v>41</v>
      </c>
      <c r="D47" s="17" t="s">
        <v>153</v>
      </c>
      <c r="E47" s="17" t="s">
        <v>27</v>
      </c>
      <c r="F47" s="18" t="s">
        <v>28</v>
      </c>
      <c r="G47" s="18" t="s">
        <v>29</v>
      </c>
      <c r="H47" s="18" t="s">
        <v>30</v>
      </c>
      <c r="I47" s="18" t="s">
        <v>31</v>
      </c>
      <c r="J47" s="35">
        <v>1200</v>
      </c>
      <c r="K47" s="17"/>
      <c r="L47" s="17"/>
    </row>
    <row r="48" spans="1:12" ht="28.5" x14ac:dyDescent="0.35">
      <c r="A48" s="17" t="s">
        <v>108</v>
      </c>
      <c r="B48" s="17" t="s">
        <v>25</v>
      </c>
      <c r="C48" s="17" t="s">
        <v>42</v>
      </c>
      <c r="D48" s="17" t="s">
        <v>153</v>
      </c>
      <c r="E48" s="17" t="s">
        <v>27</v>
      </c>
      <c r="F48" s="18" t="s">
        <v>28</v>
      </c>
      <c r="G48" s="18" t="s">
        <v>29</v>
      </c>
      <c r="H48" s="18" t="s">
        <v>30</v>
      </c>
      <c r="I48" s="18" t="s">
        <v>31</v>
      </c>
      <c r="J48" s="35">
        <v>750</v>
      </c>
      <c r="K48" s="17"/>
      <c r="L48" s="17"/>
    </row>
    <row r="49" spans="1:12" ht="42.5" x14ac:dyDescent="0.35">
      <c r="A49" s="17" t="s">
        <v>132</v>
      </c>
      <c r="B49" s="17" t="s">
        <v>25</v>
      </c>
      <c r="C49" s="17" t="s">
        <v>36</v>
      </c>
      <c r="D49" s="17" t="s">
        <v>153</v>
      </c>
      <c r="E49" s="17" t="s">
        <v>27</v>
      </c>
      <c r="F49" s="18" t="s">
        <v>28</v>
      </c>
      <c r="G49" s="18" t="s">
        <v>29</v>
      </c>
      <c r="H49" s="18" t="s">
        <v>30</v>
      </c>
      <c r="I49" s="18" t="s">
        <v>31</v>
      </c>
      <c r="J49" s="35">
        <v>1320</v>
      </c>
      <c r="K49" s="17"/>
      <c r="L49" s="17"/>
    </row>
    <row r="50" spans="1:12" ht="28.5" x14ac:dyDescent="0.35">
      <c r="A50" s="17" t="s">
        <v>109</v>
      </c>
      <c r="B50" s="17" t="s">
        <v>25</v>
      </c>
      <c r="C50" s="17" t="s">
        <v>44</v>
      </c>
      <c r="D50" s="17" t="s">
        <v>153</v>
      </c>
      <c r="E50" s="17" t="s">
        <v>27</v>
      </c>
      <c r="F50" s="18" t="s">
        <v>28</v>
      </c>
      <c r="G50" s="18" t="s">
        <v>29</v>
      </c>
      <c r="H50" s="18" t="s">
        <v>30</v>
      </c>
      <c r="I50" s="18" t="s">
        <v>31</v>
      </c>
      <c r="J50" s="35">
        <v>300</v>
      </c>
      <c r="K50" s="17"/>
      <c r="L50" s="17"/>
    </row>
    <row r="51" spans="1:12" ht="42.5" x14ac:dyDescent="0.35">
      <c r="A51" s="17" t="s">
        <v>110</v>
      </c>
      <c r="B51" s="17" t="s">
        <v>25</v>
      </c>
      <c r="C51" s="17" t="s">
        <v>43</v>
      </c>
      <c r="D51" s="17" t="s">
        <v>153</v>
      </c>
      <c r="E51" s="17" t="s">
        <v>27</v>
      </c>
      <c r="F51" s="18" t="s">
        <v>28</v>
      </c>
      <c r="G51" s="18" t="s">
        <v>29</v>
      </c>
      <c r="H51" s="18" t="s">
        <v>30</v>
      </c>
      <c r="I51" s="18" t="s">
        <v>31</v>
      </c>
      <c r="J51" s="35">
        <v>120</v>
      </c>
      <c r="K51" s="17"/>
      <c r="L51" s="17"/>
    </row>
    <row r="52" spans="1:12" ht="56.5" x14ac:dyDescent="0.35">
      <c r="A52" s="17" t="s">
        <v>160</v>
      </c>
      <c r="B52" s="17" t="s">
        <v>25</v>
      </c>
      <c r="C52" s="17" t="s">
        <v>162</v>
      </c>
      <c r="D52" s="17" t="s">
        <v>153</v>
      </c>
      <c r="E52" s="17" t="s">
        <v>27</v>
      </c>
      <c r="F52" s="18" t="s">
        <v>28</v>
      </c>
      <c r="G52" s="18" t="s">
        <v>29</v>
      </c>
      <c r="H52" s="18" t="s">
        <v>30</v>
      </c>
      <c r="I52" s="18" t="s">
        <v>31</v>
      </c>
      <c r="J52" s="35">
        <v>1275</v>
      </c>
      <c r="K52" s="17"/>
      <c r="L52" s="17"/>
    </row>
    <row r="53" spans="1:12" ht="70.5" x14ac:dyDescent="0.35">
      <c r="A53" s="17" t="s">
        <v>159</v>
      </c>
      <c r="B53" s="17" t="s">
        <v>25</v>
      </c>
      <c r="C53" s="17" t="s">
        <v>161</v>
      </c>
      <c r="D53" s="17" t="s">
        <v>153</v>
      </c>
      <c r="E53" s="17" t="s">
        <v>27</v>
      </c>
      <c r="F53" s="18" t="s">
        <v>28</v>
      </c>
      <c r="G53" s="18" t="s">
        <v>29</v>
      </c>
      <c r="H53" s="18" t="s">
        <v>30</v>
      </c>
      <c r="I53" s="18" t="s">
        <v>31</v>
      </c>
      <c r="J53" s="35">
        <v>650</v>
      </c>
      <c r="K53" s="17"/>
      <c r="L53" s="17"/>
    </row>
    <row r="54" spans="1:12" x14ac:dyDescent="0.35">
      <c r="A54" s="19" t="s">
        <v>45</v>
      </c>
      <c r="B54" s="17"/>
      <c r="C54" s="17"/>
      <c r="D54" s="17"/>
      <c r="E54" s="17"/>
      <c r="F54" s="18"/>
      <c r="G54" s="18"/>
      <c r="H54" s="18"/>
      <c r="I54" s="18"/>
      <c r="J54" s="35"/>
      <c r="K54" s="17"/>
      <c r="L54" s="17"/>
    </row>
    <row r="55" spans="1:12" ht="98.5" x14ac:dyDescent="0.35">
      <c r="A55" s="17" t="s">
        <v>157</v>
      </c>
      <c r="B55" s="17" t="s">
        <v>25</v>
      </c>
      <c r="C55" s="17" t="s">
        <v>165</v>
      </c>
      <c r="D55" s="17" t="s">
        <v>153</v>
      </c>
      <c r="E55" s="17" t="s">
        <v>27</v>
      </c>
      <c r="F55" s="18" t="s">
        <v>28</v>
      </c>
      <c r="G55" s="18" t="s">
        <v>29</v>
      </c>
      <c r="H55" s="18" t="s">
        <v>30</v>
      </c>
      <c r="I55" s="18" t="s">
        <v>31</v>
      </c>
      <c r="J55" s="35">
        <v>34000</v>
      </c>
      <c r="K55" s="17"/>
      <c r="L55" s="17"/>
    </row>
    <row r="56" spans="1:12" ht="28.5" x14ac:dyDescent="0.35">
      <c r="A56" s="17" t="s">
        <v>156</v>
      </c>
      <c r="B56" s="17" t="s">
        <v>25</v>
      </c>
      <c r="C56" s="17" t="s">
        <v>164</v>
      </c>
      <c r="D56" s="17" t="s">
        <v>153</v>
      </c>
      <c r="E56" s="17" t="s">
        <v>27</v>
      </c>
      <c r="F56" s="18" t="s">
        <v>28</v>
      </c>
      <c r="G56" s="18" t="s">
        <v>29</v>
      </c>
      <c r="H56" s="18" t="s">
        <v>30</v>
      </c>
      <c r="I56" s="18" t="s">
        <v>31</v>
      </c>
      <c r="J56" s="35">
        <v>11000</v>
      </c>
      <c r="K56" s="17"/>
      <c r="L56" s="17"/>
    </row>
    <row r="57" spans="1:12" x14ac:dyDescent="0.35">
      <c r="A57" s="19" t="s">
        <v>46</v>
      </c>
      <c r="B57" s="17"/>
      <c r="C57" s="17"/>
      <c r="D57" s="17"/>
      <c r="E57" s="17"/>
      <c r="F57" s="18"/>
      <c r="G57" s="18"/>
      <c r="H57" s="18"/>
      <c r="I57" s="18"/>
      <c r="J57" s="35"/>
      <c r="K57" s="17"/>
      <c r="L57" s="17"/>
    </row>
    <row r="58" spans="1:12" ht="126.5" x14ac:dyDescent="0.35">
      <c r="A58" s="17" t="s">
        <v>133</v>
      </c>
      <c r="B58" s="17" t="s">
        <v>25</v>
      </c>
      <c r="C58" s="17" t="s">
        <v>47</v>
      </c>
      <c r="D58" s="17" t="s">
        <v>153</v>
      </c>
      <c r="E58" s="17" t="s">
        <v>27</v>
      </c>
      <c r="F58" s="18" t="s">
        <v>28</v>
      </c>
      <c r="G58" s="18" t="s">
        <v>29</v>
      </c>
      <c r="H58" s="18" t="s">
        <v>30</v>
      </c>
      <c r="I58" s="18" t="s">
        <v>31</v>
      </c>
      <c r="J58" s="35">
        <v>40000</v>
      </c>
      <c r="K58" s="17"/>
      <c r="L58" s="17"/>
    </row>
    <row r="59" spans="1:12" ht="42.5" x14ac:dyDescent="0.35">
      <c r="A59" s="17" t="s">
        <v>111</v>
      </c>
      <c r="B59" s="17" t="s">
        <v>25</v>
      </c>
      <c r="C59" s="17" t="s">
        <v>48</v>
      </c>
      <c r="D59" s="17" t="s">
        <v>153</v>
      </c>
      <c r="E59" s="17" t="s">
        <v>27</v>
      </c>
      <c r="F59" s="18" t="s">
        <v>28</v>
      </c>
      <c r="G59" s="18" t="s">
        <v>29</v>
      </c>
      <c r="H59" s="18" t="s">
        <v>30</v>
      </c>
      <c r="I59" s="18" t="s">
        <v>31</v>
      </c>
      <c r="J59" s="35">
        <v>5000</v>
      </c>
      <c r="K59" s="17"/>
      <c r="L59" s="17"/>
    </row>
    <row r="60" spans="1:12" x14ac:dyDescent="0.35">
      <c r="A60" s="19" t="s">
        <v>49</v>
      </c>
      <c r="B60" s="17"/>
      <c r="C60" s="17"/>
      <c r="D60" s="17"/>
      <c r="E60" s="17"/>
      <c r="F60" s="18"/>
      <c r="G60" s="18"/>
      <c r="H60" s="18"/>
      <c r="I60" s="18"/>
      <c r="J60" s="35"/>
      <c r="K60" s="17"/>
      <c r="L60" s="17"/>
    </row>
    <row r="61" spans="1:12" s="28" customFormat="1" ht="112.5" x14ac:dyDescent="0.35">
      <c r="A61" s="17" t="s">
        <v>154</v>
      </c>
      <c r="B61" s="17" t="s">
        <v>25</v>
      </c>
      <c r="C61" s="17" t="s">
        <v>166</v>
      </c>
      <c r="D61" s="17" t="s">
        <v>153</v>
      </c>
      <c r="E61" s="17" t="s">
        <v>27</v>
      </c>
      <c r="F61" s="18" t="s">
        <v>28</v>
      </c>
      <c r="G61" s="18" t="s">
        <v>29</v>
      </c>
      <c r="H61" s="18" t="s">
        <v>30</v>
      </c>
      <c r="I61" s="18" t="s">
        <v>31</v>
      </c>
      <c r="J61" s="35">
        <v>50000</v>
      </c>
      <c r="K61" s="26"/>
      <c r="L61" s="26"/>
    </row>
    <row r="62" spans="1:12" x14ac:dyDescent="0.35">
      <c r="A62" s="19" t="s">
        <v>50</v>
      </c>
      <c r="B62" s="17"/>
      <c r="C62" s="17"/>
      <c r="D62" s="17"/>
      <c r="E62" s="17"/>
      <c r="F62" s="18"/>
      <c r="G62" s="18"/>
      <c r="H62" s="18"/>
      <c r="I62" s="18"/>
      <c r="J62" s="35"/>
      <c r="K62" s="17"/>
      <c r="L62" s="17"/>
    </row>
    <row r="63" spans="1:12" ht="28.5" x14ac:dyDescent="0.35">
      <c r="A63" s="17" t="s">
        <v>112</v>
      </c>
      <c r="B63" s="17" t="s">
        <v>25</v>
      </c>
      <c r="C63" s="17" t="s">
        <v>53</v>
      </c>
      <c r="D63" s="17" t="s">
        <v>153</v>
      </c>
      <c r="E63" s="17" t="s">
        <v>27</v>
      </c>
      <c r="F63" s="18" t="s">
        <v>28</v>
      </c>
      <c r="G63" s="18" t="s">
        <v>29</v>
      </c>
      <c r="H63" s="18" t="s">
        <v>30</v>
      </c>
      <c r="I63" s="18" t="s">
        <v>31</v>
      </c>
      <c r="J63" s="35">
        <v>15000</v>
      </c>
      <c r="K63" s="17"/>
      <c r="L63" s="17"/>
    </row>
    <row r="64" spans="1:12" ht="28.5" x14ac:dyDescent="0.35">
      <c r="A64" s="17" t="s">
        <v>113</v>
      </c>
      <c r="B64" s="17" t="s">
        <v>25</v>
      </c>
      <c r="C64" s="17" t="s">
        <v>69</v>
      </c>
      <c r="D64" s="17" t="s">
        <v>153</v>
      </c>
      <c r="E64" s="17" t="s">
        <v>27</v>
      </c>
      <c r="F64" s="18" t="s">
        <v>28</v>
      </c>
      <c r="G64" s="18" t="s">
        <v>29</v>
      </c>
      <c r="H64" s="18" t="s">
        <v>30</v>
      </c>
      <c r="I64" s="18" t="s">
        <v>31</v>
      </c>
      <c r="J64" s="35">
        <f>50*300</f>
        <v>15000</v>
      </c>
      <c r="K64" s="17"/>
      <c r="L64" s="17"/>
    </row>
    <row r="65" spans="1:12" ht="28.5" x14ac:dyDescent="0.35">
      <c r="A65" s="17" t="s">
        <v>114</v>
      </c>
      <c r="B65" s="17" t="s">
        <v>25</v>
      </c>
      <c r="C65" s="17" t="s">
        <v>54</v>
      </c>
      <c r="D65" s="17" t="s">
        <v>153</v>
      </c>
      <c r="E65" s="17" t="s">
        <v>27</v>
      </c>
      <c r="F65" s="18" t="s">
        <v>28</v>
      </c>
      <c r="G65" s="18" t="s">
        <v>29</v>
      </c>
      <c r="H65" s="18" t="s">
        <v>30</v>
      </c>
      <c r="I65" s="18" t="s">
        <v>31</v>
      </c>
      <c r="J65" s="35">
        <f>10*250</f>
        <v>2500</v>
      </c>
      <c r="K65" s="17"/>
      <c r="L65" s="17"/>
    </row>
    <row r="66" spans="1:12" ht="28.5" x14ac:dyDescent="0.35">
      <c r="A66" s="17" t="s">
        <v>115</v>
      </c>
      <c r="B66" s="17" t="s">
        <v>25</v>
      </c>
      <c r="C66" s="17" t="s">
        <v>55</v>
      </c>
      <c r="D66" s="17" t="s">
        <v>153</v>
      </c>
      <c r="E66" s="17" t="s">
        <v>27</v>
      </c>
      <c r="F66" s="18" t="s">
        <v>28</v>
      </c>
      <c r="G66" s="18" t="s">
        <v>29</v>
      </c>
      <c r="H66" s="18" t="s">
        <v>30</v>
      </c>
      <c r="I66" s="18" t="s">
        <v>31</v>
      </c>
      <c r="J66" s="35">
        <f>10*150</f>
        <v>1500</v>
      </c>
      <c r="K66" s="17"/>
      <c r="L66" s="17"/>
    </row>
    <row r="67" spans="1:12" ht="56.5" x14ac:dyDescent="0.35">
      <c r="A67" s="17" t="s">
        <v>116</v>
      </c>
      <c r="B67" s="17" t="s">
        <v>25</v>
      </c>
      <c r="C67" s="17" t="s">
        <v>71</v>
      </c>
      <c r="D67" s="17" t="s">
        <v>153</v>
      </c>
      <c r="E67" s="17" t="s">
        <v>27</v>
      </c>
      <c r="F67" s="18" t="s">
        <v>28</v>
      </c>
      <c r="G67" s="18" t="s">
        <v>29</v>
      </c>
      <c r="H67" s="18" t="s">
        <v>30</v>
      </c>
      <c r="I67" s="18" t="s">
        <v>31</v>
      </c>
      <c r="J67" s="35">
        <f>90*170</f>
        <v>15300</v>
      </c>
      <c r="K67" s="17"/>
      <c r="L67" s="17"/>
    </row>
    <row r="68" spans="1:12" ht="56.5" x14ac:dyDescent="0.35">
      <c r="A68" s="17" t="s">
        <v>134</v>
      </c>
      <c r="B68" s="17" t="s">
        <v>25</v>
      </c>
      <c r="C68" s="17" t="s">
        <v>56</v>
      </c>
      <c r="D68" s="17" t="s">
        <v>153</v>
      </c>
      <c r="E68" s="17" t="s">
        <v>27</v>
      </c>
      <c r="F68" s="18" t="s">
        <v>28</v>
      </c>
      <c r="G68" s="18" t="s">
        <v>29</v>
      </c>
      <c r="H68" s="18" t="s">
        <v>30</v>
      </c>
      <c r="I68" s="18" t="s">
        <v>31</v>
      </c>
      <c r="J68" s="35">
        <v>2500</v>
      </c>
      <c r="K68" s="17"/>
      <c r="L68" s="17"/>
    </row>
    <row r="69" spans="1:12" ht="28.5" x14ac:dyDescent="0.35">
      <c r="A69" s="17" t="s">
        <v>117</v>
      </c>
      <c r="B69" s="17" t="s">
        <v>25</v>
      </c>
      <c r="C69" s="17" t="s">
        <v>65</v>
      </c>
      <c r="D69" s="17" t="s">
        <v>153</v>
      </c>
      <c r="E69" s="17" t="s">
        <v>27</v>
      </c>
      <c r="F69" s="18" t="s">
        <v>28</v>
      </c>
      <c r="G69" s="18" t="s">
        <v>29</v>
      </c>
      <c r="H69" s="18" t="s">
        <v>30</v>
      </c>
      <c r="I69" s="18" t="s">
        <v>31</v>
      </c>
      <c r="J69" s="35">
        <f>35*300</f>
        <v>10500</v>
      </c>
      <c r="K69" s="17"/>
      <c r="L69" s="17"/>
    </row>
    <row r="70" spans="1:12" ht="28.5" x14ac:dyDescent="0.35">
      <c r="A70" s="17" t="s">
        <v>118</v>
      </c>
      <c r="B70" s="17" t="s">
        <v>25</v>
      </c>
      <c r="C70" s="17" t="s">
        <v>62</v>
      </c>
      <c r="D70" s="17" t="s">
        <v>153</v>
      </c>
      <c r="E70" s="17" t="s">
        <v>27</v>
      </c>
      <c r="F70" s="18" t="s">
        <v>28</v>
      </c>
      <c r="G70" s="18" t="s">
        <v>29</v>
      </c>
      <c r="H70" s="18" t="s">
        <v>30</v>
      </c>
      <c r="I70" s="18" t="s">
        <v>31</v>
      </c>
      <c r="J70" s="35">
        <f>60*50</f>
        <v>3000</v>
      </c>
      <c r="K70" s="17"/>
      <c r="L70" s="17"/>
    </row>
    <row r="71" spans="1:12" ht="42.5" x14ac:dyDescent="0.35">
      <c r="A71" s="17" t="s">
        <v>135</v>
      </c>
      <c r="B71" s="17" t="s">
        <v>25</v>
      </c>
      <c r="C71" s="17" t="s">
        <v>57</v>
      </c>
      <c r="D71" s="17" t="s">
        <v>153</v>
      </c>
      <c r="E71" s="17" t="s">
        <v>27</v>
      </c>
      <c r="F71" s="18" t="s">
        <v>28</v>
      </c>
      <c r="G71" s="18" t="s">
        <v>29</v>
      </c>
      <c r="H71" s="18" t="s">
        <v>30</v>
      </c>
      <c r="I71" s="18" t="s">
        <v>31</v>
      </c>
      <c r="J71" s="35">
        <v>4500</v>
      </c>
      <c r="K71" s="17"/>
      <c r="L71" s="17"/>
    </row>
    <row r="72" spans="1:12" ht="56.5" x14ac:dyDescent="0.35">
      <c r="A72" s="17" t="s">
        <v>119</v>
      </c>
      <c r="B72" s="17" t="s">
        <v>25</v>
      </c>
      <c r="C72" s="17" t="s">
        <v>63</v>
      </c>
      <c r="D72" s="17" t="s">
        <v>153</v>
      </c>
      <c r="E72" s="17" t="s">
        <v>27</v>
      </c>
      <c r="F72" s="18" t="s">
        <v>28</v>
      </c>
      <c r="G72" s="18" t="s">
        <v>29</v>
      </c>
      <c r="H72" s="18" t="s">
        <v>30</v>
      </c>
      <c r="I72" s="18" t="s">
        <v>31</v>
      </c>
      <c r="J72" s="35">
        <v>1000</v>
      </c>
      <c r="K72" s="17"/>
      <c r="L72" s="17"/>
    </row>
    <row r="73" spans="1:12" ht="28.5" x14ac:dyDescent="0.35">
      <c r="A73" s="17" t="s">
        <v>120</v>
      </c>
      <c r="B73" s="17" t="s">
        <v>25</v>
      </c>
      <c r="C73" s="17" t="s">
        <v>64</v>
      </c>
      <c r="D73" s="17" t="s">
        <v>153</v>
      </c>
      <c r="E73" s="17" t="s">
        <v>27</v>
      </c>
      <c r="F73" s="18" t="s">
        <v>28</v>
      </c>
      <c r="G73" s="18" t="s">
        <v>29</v>
      </c>
      <c r="H73" s="18" t="s">
        <v>30</v>
      </c>
      <c r="I73" s="18" t="s">
        <v>31</v>
      </c>
      <c r="J73" s="35">
        <f>100*30</f>
        <v>3000</v>
      </c>
      <c r="K73" s="17"/>
      <c r="L73" s="17"/>
    </row>
    <row r="74" spans="1:12" ht="56.5" x14ac:dyDescent="0.35">
      <c r="A74" s="17" t="s">
        <v>121</v>
      </c>
      <c r="B74" s="17" t="s">
        <v>25</v>
      </c>
      <c r="C74" s="17" t="s">
        <v>70</v>
      </c>
      <c r="D74" s="17" t="s">
        <v>153</v>
      </c>
      <c r="E74" s="17" t="s">
        <v>27</v>
      </c>
      <c r="F74" s="18" t="s">
        <v>28</v>
      </c>
      <c r="G74" s="18" t="s">
        <v>29</v>
      </c>
      <c r="H74" s="18" t="s">
        <v>30</v>
      </c>
      <c r="I74" s="18" t="s">
        <v>31</v>
      </c>
      <c r="J74" s="35">
        <f>46*200</f>
        <v>9200</v>
      </c>
      <c r="K74" s="17"/>
      <c r="L74" s="17"/>
    </row>
    <row r="75" spans="1:12" ht="56.5" x14ac:dyDescent="0.35">
      <c r="A75" s="17" t="s">
        <v>136</v>
      </c>
      <c r="B75" s="17" t="s">
        <v>25</v>
      </c>
      <c r="C75" s="17" t="s">
        <v>58</v>
      </c>
      <c r="D75" s="17" t="s">
        <v>153</v>
      </c>
      <c r="E75" s="17" t="s">
        <v>27</v>
      </c>
      <c r="F75" s="18" t="s">
        <v>28</v>
      </c>
      <c r="G75" s="18" t="s">
        <v>29</v>
      </c>
      <c r="H75" s="18" t="s">
        <v>30</v>
      </c>
      <c r="I75" s="18" t="s">
        <v>31</v>
      </c>
      <c r="J75" s="35">
        <f>10*700</f>
        <v>7000</v>
      </c>
      <c r="K75" s="17"/>
      <c r="L75" s="17"/>
    </row>
    <row r="76" spans="1:12" ht="42.5" x14ac:dyDescent="0.35">
      <c r="A76" s="17" t="s">
        <v>137</v>
      </c>
      <c r="B76" s="17" t="s">
        <v>25</v>
      </c>
      <c r="C76" s="17" t="s">
        <v>59</v>
      </c>
      <c r="D76" s="17" t="s">
        <v>153</v>
      </c>
      <c r="E76" s="17" t="s">
        <v>27</v>
      </c>
      <c r="F76" s="18" t="s">
        <v>28</v>
      </c>
      <c r="G76" s="18" t="s">
        <v>29</v>
      </c>
      <c r="H76" s="18" t="s">
        <v>30</v>
      </c>
      <c r="I76" s="18" t="s">
        <v>31</v>
      </c>
      <c r="J76" s="35">
        <f>50*170</f>
        <v>8500</v>
      </c>
      <c r="K76" s="17"/>
      <c r="L76" s="17"/>
    </row>
    <row r="77" spans="1:12" ht="28.5" x14ac:dyDescent="0.35">
      <c r="A77" s="17" t="s">
        <v>122</v>
      </c>
      <c r="B77" s="17" t="s">
        <v>25</v>
      </c>
      <c r="C77" s="17" t="s">
        <v>60</v>
      </c>
      <c r="D77" s="17" t="s">
        <v>153</v>
      </c>
      <c r="E77" s="17" t="s">
        <v>27</v>
      </c>
      <c r="F77" s="18" t="s">
        <v>28</v>
      </c>
      <c r="G77" s="18" t="s">
        <v>29</v>
      </c>
      <c r="H77" s="18" t="s">
        <v>30</v>
      </c>
      <c r="I77" s="18" t="s">
        <v>31</v>
      </c>
      <c r="J77" s="35">
        <f>100*70</f>
        <v>7000</v>
      </c>
      <c r="K77" s="17"/>
      <c r="L77" s="17"/>
    </row>
    <row r="78" spans="1:12" x14ac:dyDescent="0.35">
      <c r="A78" s="19" t="s">
        <v>51</v>
      </c>
      <c r="B78" s="17"/>
      <c r="C78" s="17"/>
      <c r="D78" s="17" t="s">
        <v>153</v>
      </c>
      <c r="E78" s="17"/>
      <c r="F78" s="18"/>
      <c r="G78" s="18"/>
      <c r="H78" s="18"/>
      <c r="I78" s="18"/>
      <c r="J78" s="35"/>
      <c r="K78" s="17"/>
      <c r="L78" s="17"/>
    </row>
    <row r="79" spans="1:12" ht="28.5" x14ac:dyDescent="0.35">
      <c r="A79" s="17" t="s">
        <v>123</v>
      </c>
      <c r="B79" s="17" t="s">
        <v>52</v>
      </c>
      <c r="C79" s="17" t="s">
        <v>61</v>
      </c>
      <c r="D79" s="17" t="s">
        <v>153</v>
      </c>
      <c r="E79" s="17" t="s">
        <v>27</v>
      </c>
      <c r="F79" s="18" t="s">
        <v>28</v>
      </c>
      <c r="G79" s="18" t="s">
        <v>29</v>
      </c>
      <c r="H79" s="18" t="s">
        <v>30</v>
      </c>
      <c r="I79" s="18" t="s">
        <v>31</v>
      </c>
      <c r="J79" s="35">
        <f>50*1000</f>
        <v>50000</v>
      </c>
      <c r="K79" s="17"/>
      <c r="L79" s="17"/>
    </row>
    <row r="80" spans="1:12" ht="20" x14ac:dyDescent="0.4">
      <c r="A80" s="12" t="s">
        <v>66</v>
      </c>
      <c r="B80" s="17"/>
      <c r="C80" s="17"/>
      <c r="D80" s="17"/>
      <c r="E80" s="17"/>
      <c r="F80" s="18"/>
      <c r="G80" s="18"/>
      <c r="H80" s="18"/>
      <c r="I80" s="18"/>
      <c r="J80" s="35"/>
      <c r="K80" s="17"/>
      <c r="L80" s="17"/>
    </row>
    <row r="81" spans="1:12" s="54" customFormat="1" ht="28.5" x14ac:dyDescent="0.35">
      <c r="A81" s="51" t="s">
        <v>94</v>
      </c>
      <c r="B81" s="51"/>
      <c r="C81" s="51"/>
      <c r="D81" s="51"/>
      <c r="E81" s="51"/>
      <c r="F81" s="52"/>
      <c r="G81" s="52"/>
      <c r="H81" s="52"/>
      <c r="I81" s="52"/>
      <c r="J81" s="53"/>
      <c r="K81" s="51"/>
      <c r="L81" s="51"/>
    </row>
    <row r="82" spans="1:12" s="54" customFormat="1" x14ac:dyDescent="0.35">
      <c r="A82" s="55" t="s">
        <v>67</v>
      </c>
      <c r="B82" s="51"/>
      <c r="C82" s="51"/>
      <c r="D82" s="51"/>
      <c r="E82" s="51"/>
      <c r="F82" s="52"/>
      <c r="G82" s="52"/>
      <c r="H82" s="52"/>
      <c r="I82" s="52"/>
      <c r="J82" s="53"/>
      <c r="K82" s="51"/>
      <c r="L82" s="51"/>
    </row>
    <row r="83" spans="1:12" s="54" customFormat="1" ht="42.5" x14ac:dyDescent="0.35">
      <c r="A83" s="51" t="s">
        <v>138</v>
      </c>
      <c r="B83" s="51" t="s">
        <v>25</v>
      </c>
      <c r="C83" s="51" t="s">
        <v>68</v>
      </c>
      <c r="D83" s="51" t="s">
        <v>153</v>
      </c>
      <c r="E83" s="51" t="s">
        <v>27</v>
      </c>
      <c r="F83" s="52" t="s">
        <v>29</v>
      </c>
      <c r="G83" s="52" t="s">
        <v>30</v>
      </c>
      <c r="H83" s="52" t="s">
        <v>96</v>
      </c>
      <c r="I83" s="52" t="s">
        <v>31</v>
      </c>
      <c r="J83" s="53">
        <v>160000</v>
      </c>
      <c r="K83" s="51"/>
      <c r="L83" s="51"/>
    </row>
    <row r="84" spans="1:12" x14ac:dyDescent="0.35">
      <c r="A84" s="19" t="s">
        <v>50</v>
      </c>
      <c r="B84" s="17"/>
      <c r="C84" s="17"/>
      <c r="D84" s="17"/>
      <c r="E84" s="17"/>
      <c r="F84" s="18"/>
      <c r="G84" s="18"/>
      <c r="H84" s="18"/>
      <c r="I84" s="18"/>
      <c r="J84" s="35"/>
      <c r="K84" s="17"/>
      <c r="L84" s="17"/>
    </row>
    <row r="85" spans="1:12" ht="28.5" x14ac:dyDescent="0.35">
      <c r="A85" s="17" t="s">
        <v>124</v>
      </c>
      <c r="B85" s="17" t="s">
        <v>25</v>
      </c>
      <c r="C85" s="17" t="s">
        <v>73</v>
      </c>
      <c r="D85" s="17" t="s">
        <v>153</v>
      </c>
      <c r="E85" s="17" t="s">
        <v>27</v>
      </c>
      <c r="F85" s="18" t="s">
        <v>29</v>
      </c>
      <c r="G85" s="18" t="s">
        <v>30</v>
      </c>
      <c r="H85" s="18" t="s">
        <v>96</v>
      </c>
      <c r="I85" s="18" t="s">
        <v>31</v>
      </c>
      <c r="J85" s="35">
        <f>25*150</f>
        <v>3750</v>
      </c>
      <c r="K85" s="17"/>
      <c r="L85" s="17"/>
    </row>
    <row r="86" spans="1:12" s="54" customFormat="1" ht="28.5" x14ac:dyDescent="0.35">
      <c r="A86" s="51" t="s">
        <v>125</v>
      </c>
      <c r="B86" s="51" t="s">
        <v>25</v>
      </c>
      <c r="C86" s="51" t="s">
        <v>74</v>
      </c>
      <c r="D86" s="51" t="s">
        <v>153</v>
      </c>
      <c r="E86" s="51" t="s">
        <v>27</v>
      </c>
      <c r="F86" s="52" t="s">
        <v>29</v>
      </c>
      <c r="G86" s="52" t="s">
        <v>30</v>
      </c>
      <c r="H86" s="52" t="s">
        <v>96</v>
      </c>
      <c r="I86" s="52" t="s">
        <v>31</v>
      </c>
      <c r="J86" s="53">
        <f>25*1000</f>
        <v>25000</v>
      </c>
      <c r="K86" s="51"/>
      <c r="L86" s="51"/>
    </row>
    <row r="87" spans="1:12" x14ac:dyDescent="0.35">
      <c r="A87" s="19" t="s">
        <v>79</v>
      </c>
      <c r="B87" s="17"/>
      <c r="C87" s="17"/>
      <c r="D87" s="17"/>
      <c r="E87" s="17"/>
      <c r="F87" s="18"/>
      <c r="G87" s="18"/>
      <c r="H87" s="18"/>
      <c r="I87" s="18"/>
      <c r="J87" s="35"/>
      <c r="K87" s="17"/>
      <c r="L87" s="17"/>
    </row>
    <row r="88" spans="1:12" ht="28.5" x14ac:dyDescent="0.35">
      <c r="A88" s="17" t="s">
        <v>126</v>
      </c>
      <c r="B88" s="17" t="s">
        <v>25</v>
      </c>
      <c r="C88" s="17" t="s">
        <v>80</v>
      </c>
      <c r="D88" s="17" t="s">
        <v>153</v>
      </c>
      <c r="E88" s="17" t="s">
        <v>27</v>
      </c>
      <c r="F88" s="18" t="s">
        <v>29</v>
      </c>
      <c r="G88" s="18" t="s">
        <v>30</v>
      </c>
      <c r="H88" s="18" t="s">
        <v>96</v>
      </c>
      <c r="I88" s="18" t="s">
        <v>31</v>
      </c>
      <c r="J88" s="35">
        <f>250*20</f>
        <v>5000</v>
      </c>
      <c r="K88" s="17"/>
      <c r="L88" s="17"/>
    </row>
    <row r="89" spans="1:12" s="28" customFormat="1" x14ac:dyDescent="0.35">
      <c r="A89" s="14" t="s">
        <v>95</v>
      </c>
      <c r="B89" s="26"/>
      <c r="C89" s="26"/>
      <c r="D89" s="26"/>
      <c r="E89" s="26"/>
      <c r="F89" s="27"/>
      <c r="G89" s="27"/>
      <c r="H89" s="27"/>
      <c r="I89" s="27"/>
      <c r="J89" s="37"/>
      <c r="K89" s="26"/>
      <c r="L89" s="26"/>
    </row>
    <row r="90" spans="1:12" x14ac:dyDescent="0.35">
      <c r="A90" s="19" t="s">
        <v>67</v>
      </c>
      <c r="B90" s="17"/>
      <c r="C90" s="17"/>
      <c r="D90" s="17"/>
      <c r="E90" s="17"/>
      <c r="F90" s="18"/>
      <c r="G90" s="18"/>
      <c r="H90" s="18"/>
      <c r="I90" s="18"/>
      <c r="J90" s="35"/>
      <c r="K90" s="17"/>
      <c r="L90" s="17"/>
    </row>
    <row r="91" spans="1:12" ht="42.5" x14ac:dyDescent="0.35">
      <c r="A91" s="17" t="s">
        <v>139</v>
      </c>
      <c r="B91" s="17" t="s">
        <v>25</v>
      </c>
      <c r="C91" s="17" t="s">
        <v>72</v>
      </c>
      <c r="D91" s="17" t="s">
        <v>153</v>
      </c>
      <c r="E91" s="17" t="s">
        <v>27</v>
      </c>
      <c r="F91" s="18" t="s">
        <v>30</v>
      </c>
      <c r="G91" s="18" t="s">
        <v>96</v>
      </c>
      <c r="H91" s="18" t="s">
        <v>97</v>
      </c>
      <c r="I91" s="18" t="s">
        <v>31</v>
      </c>
      <c r="J91" s="35">
        <f>15*1000</f>
        <v>15000</v>
      </c>
      <c r="K91" s="17"/>
      <c r="L91" s="17"/>
    </row>
    <row r="92" spans="1:12" x14ac:dyDescent="0.35">
      <c r="A92" s="19" t="s">
        <v>50</v>
      </c>
      <c r="B92" s="17"/>
      <c r="C92" s="17"/>
      <c r="D92" s="17"/>
      <c r="E92" s="17"/>
      <c r="F92" s="18"/>
      <c r="G92" s="18"/>
      <c r="H92" s="18"/>
      <c r="I92" s="18"/>
      <c r="J92" s="35"/>
      <c r="K92" s="17"/>
      <c r="L92" s="17"/>
    </row>
    <row r="93" spans="1:12" ht="28.5" x14ac:dyDescent="0.35">
      <c r="A93" s="17" t="s">
        <v>127</v>
      </c>
      <c r="B93" s="17" t="s">
        <v>25</v>
      </c>
      <c r="C93" s="17" t="s">
        <v>75</v>
      </c>
      <c r="D93" s="17" t="s">
        <v>153</v>
      </c>
      <c r="E93" s="17" t="s">
        <v>27</v>
      </c>
      <c r="F93" s="18" t="s">
        <v>30</v>
      </c>
      <c r="G93" s="18" t="s">
        <v>96</v>
      </c>
      <c r="H93" s="18" t="s">
        <v>97</v>
      </c>
      <c r="I93" s="18" t="s">
        <v>31</v>
      </c>
      <c r="J93" s="35">
        <f>5*150</f>
        <v>750</v>
      </c>
      <c r="K93" s="17"/>
      <c r="L93" s="17"/>
    </row>
    <row r="94" spans="1:12" ht="28.5" x14ac:dyDescent="0.35">
      <c r="A94" s="17" t="s">
        <v>128</v>
      </c>
      <c r="B94" s="17" t="s">
        <v>25</v>
      </c>
      <c r="C94" s="17" t="s">
        <v>76</v>
      </c>
      <c r="D94" s="17" t="s">
        <v>153</v>
      </c>
      <c r="E94" s="17" t="s">
        <v>27</v>
      </c>
      <c r="F94" s="18" t="s">
        <v>30</v>
      </c>
      <c r="G94" s="18" t="s">
        <v>96</v>
      </c>
      <c r="H94" s="18" t="s">
        <v>97</v>
      </c>
      <c r="I94" s="18" t="s">
        <v>31</v>
      </c>
      <c r="J94" s="35">
        <f>5*1000</f>
        <v>5000</v>
      </c>
      <c r="K94" s="17"/>
      <c r="L94" s="17"/>
    </row>
    <row r="95" spans="1:12" x14ac:dyDescent="0.35">
      <c r="A95" s="19" t="s">
        <v>155</v>
      </c>
      <c r="B95" s="17"/>
      <c r="C95" s="17"/>
      <c r="D95" s="17"/>
      <c r="E95" s="17"/>
      <c r="F95" s="18"/>
      <c r="G95" s="18"/>
      <c r="H95" s="18"/>
      <c r="I95" s="18"/>
      <c r="J95" s="35"/>
      <c r="K95" s="17"/>
      <c r="L95" s="17"/>
    </row>
    <row r="96" spans="1:12" ht="28.5" x14ac:dyDescent="0.35">
      <c r="A96" s="17" t="s">
        <v>129</v>
      </c>
      <c r="B96" s="17" t="s">
        <v>25</v>
      </c>
      <c r="C96" s="17" t="s">
        <v>80</v>
      </c>
      <c r="D96" s="17" t="s">
        <v>153</v>
      </c>
      <c r="E96" s="17" t="s">
        <v>27</v>
      </c>
      <c r="F96" s="18" t="s">
        <v>30</v>
      </c>
      <c r="G96" s="18" t="s">
        <v>96</v>
      </c>
      <c r="H96" s="18" t="s">
        <v>97</v>
      </c>
      <c r="I96" s="18" t="s">
        <v>31</v>
      </c>
      <c r="J96" s="35">
        <f>250*20</f>
        <v>5000</v>
      </c>
      <c r="K96" s="17"/>
      <c r="L96" s="17"/>
    </row>
    <row r="97" spans="1:12" x14ac:dyDescent="0.35">
      <c r="A97" s="14" t="s">
        <v>77</v>
      </c>
      <c r="B97" s="17"/>
      <c r="C97" s="17"/>
      <c r="D97" s="17"/>
      <c r="E97" s="17"/>
      <c r="F97" s="18"/>
      <c r="G97" s="18"/>
      <c r="H97" s="18"/>
      <c r="I97" s="18"/>
      <c r="J97" s="35"/>
      <c r="K97" s="17"/>
      <c r="L97" s="17"/>
    </row>
    <row r="98" spans="1:12" x14ac:dyDescent="0.35">
      <c r="A98" s="19" t="s">
        <v>67</v>
      </c>
      <c r="B98" s="17"/>
      <c r="C98" s="17"/>
      <c r="D98" s="17"/>
      <c r="E98" s="17"/>
      <c r="F98" s="18"/>
      <c r="G98" s="18"/>
      <c r="H98" s="18"/>
      <c r="I98" s="18"/>
      <c r="J98" s="35"/>
      <c r="K98" s="17"/>
      <c r="L98" s="17"/>
    </row>
    <row r="99" spans="1:12" ht="42.5" x14ac:dyDescent="0.35">
      <c r="A99" s="17" t="s">
        <v>140</v>
      </c>
      <c r="B99" s="17" t="s">
        <v>25</v>
      </c>
      <c r="C99" s="17" t="s">
        <v>78</v>
      </c>
      <c r="D99" s="17" t="s">
        <v>153</v>
      </c>
      <c r="E99" s="17" t="s">
        <v>27</v>
      </c>
      <c r="F99" s="18" t="s">
        <v>28</v>
      </c>
      <c r="G99" s="18" t="s">
        <v>29</v>
      </c>
      <c r="H99" s="18" t="s">
        <v>30</v>
      </c>
      <c r="I99" s="18" t="s">
        <v>31</v>
      </c>
      <c r="J99" s="35">
        <v>300000</v>
      </c>
      <c r="K99" s="17"/>
      <c r="L99" s="17"/>
    </row>
    <row r="100" spans="1:12" x14ac:dyDescent="0.35">
      <c r="A100" s="19" t="s">
        <v>155</v>
      </c>
      <c r="B100" s="17"/>
      <c r="C100" s="17"/>
      <c r="D100" s="17"/>
      <c r="E100" s="17"/>
      <c r="F100" s="18"/>
      <c r="G100" s="18"/>
      <c r="H100" s="18"/>
      <c r="I100" s="18"/>
      <c r="J100" s="35"/>
      <c r="K100" s="17"/>
      <c r="L100" s="17"/>
    </row>
    <row r="101" spans="1:12" ht="28.5" x14ac:dyDescent="0.35">
      <c r="A101" s="17" t="s">
        <v>130</v>
      </c>
      <c r="B101" s="17" t="s">
        <v>25</v>
      </c>
      <c r="C101" s="17" t="s">
        <v>80</v>
      </c>
      <c r="D101" s="17" t="s">
        <v>153</v>
      </c>
      <c r="E101" s="17" t="s">
        <v>27</v>
      </c>
      <c r="F101" s="18" t="s">
        <v>28</v>
      </c>
      <c r="G101" s="18" t="s">
        <v>29</v>
      </c>
      <c r="H101" s="18" t="s">
        <v>30</v>
      </c>
      <c r="I101" s="18" t="s">
        <v>31</v>
      </c>
      <c r="J101" s="35">
        <f>250*20</f>
        <v>5000</v>
      </c>
      <c r="K101" s="17"/>
      <c r="L101" s="17"/>
    </row>
    <row r="105" spans="1:12" ht="19" x14ac:dyDescent="0.35">
      <c r="B105" s="21" t="s">
        <v>146</v>
      </c>
      <c r="C105" s="22"/>
      <c r="D105" s="22"/>
      <c r="E105" s="21" t="s">
        <v>147</v>
      </c>
      <c r="F105" s="22"/>
      <c r="G105" s="23"/>
    </row>
    <row r="106" spans="1:12" x14ac:dyDescent="0.35">
      <c r="B106" s="23"/>
      <c r="C106" s="22"/>
      <c r="D106" s="22"/>
      <c r="E106" s="23"/>
      <c r="F106" s="22"/>
      <c r="G106" s="23"/>
    </row>
    <row r="107" spans="1:12" x14ac:dyDescent="0.35">
      <c r="B107" s="23"/>
      <c r="C107" s="22"/>
      <c r="D107" s="22"/>
      <c r="E107" s="23"/>
      <c r="F107" s="22"/>
      <c r="G107" s="23"/>
    </row>
    <row r="108" spans="1:12" x14ac:dyDescent="0.35">
      <c r="B108" s="23"/>
      <c r="C108" s="22"/>
      <c r="D108" s="22"/>
      <c r="E108" s="23"/>
      <c r="F108" s="22"/>
      <c r="G108" s="23"/>
    </row>
    <row r="109" spans="1:12" ht="19" x14ac:dyDescent="0.35">
      <c r="B109" s="24" t="s">
        <v>150</v>
      </c>
      <c r="C109" s="22"/>
      <c r="D109" s="22"/>
      <c r="E109" s="44" t="s">
        <v>148</v>
      </c>
      <c r="F109" s="45"/>
      <c r="G109" s="23"/>
    </row>
    <row r="110" spans="1:12" ht="19" x14ac:dyDescent="0.35">
      <c r="B110" s="25" t="s">
        <v>151</v>
      </c>
      <c r="C110" s="22"/>
      <c r="D110" s="22"/>
      <c r="E110" s="46" t="s">
        <v>152</v>
      </c>
      <c r="F110" s="47"/>
      <c r="G110" s="23"/>
    </row>
    <row r="111" spans="1:12" x14ac:dyDescent="0.35">
      <c r="B111" s="23"/>
      <c r="C111" s="22"/>
      <c r="D111" s="22"/>
      <c r="E111" s="40"/>
      <c r="F111" s="39"/>
      <c r="G111" s="23"/>
    </row>
    <row r="112" spans="1:12" ht="19" x14ac:dyDescent="0.35">
      <c r="B112" s="21" t="s">
        <v>149</v>
      </c>
      <c r="C112" s="22"/>
      <c r="D112" s="22"/>
      <c r="E112" s="38" t="s">
        <v>149</v>
      </c>
      <c r="F112" s="39"/>
      <c r="G112" s="23"/>
    </row>
    <row r="113" spans="2:7" x14ac:dyDescent="0.35">
      <c r="B113" s="23"/>
      <c r="C113" s="22"/>
      <c r="D113" s="22"/>
      <c r="E113" s="23"/>
      <c r="F113" s="22"/>
      <c r="G113" s="23"/>
    </row>
    <row r="114" spans="2:7" x14ac:dyDescent="0.35">
      <c r="B114" s="23"/>
      <c r="C114" s="22"/>
      <c r="D114" s="22"/>
      <c r="E114" s="40"/>
      <c r="F114" s="39"/>
      <c r="G114" s="23"/>
    </row>
    <row r="115" spans="2:7" x14ac:dyDescent="0.35">
      <c r="B115" s="23"/>
      <c r="C115" s="22"/>
      <c r="D115" s="22"/>
      <c r="E115" s="23"/>
      <c r="F115" s="22"/>
      <c r="G115" s="23"/>
    </row>
    <row r="116" spans="2:7" x14ac:dyDescent="0.35">
      <c r="B116" s="23"/>
      <c r="C116" s="22"/>
      <c r="D116" s="22"/>
      <c r="E116" s="23"/>
      <c r="F116" s="22"/>
      <c r="G116" s="23"/>
    </row>
  </sheetData>
  <mergeCells count="13">
    <mergeCell ref="E112:F112"/>
    <mergeCell ref="E114:F114"/>
    <mergeCell ref="A12:L13"/>
    <mergeCell ref="E15:E16"/>
    <mergeCell ref="G15:G16"/>
    <mergeCell ref="E109:F109"/>
    <mergeCell ref="E110:F110"/>
    <mergeCell ref="E111:F111"/>
    <mergeCell ref="A22:E22"/>
    <mergeCell ref="F22:H22"/>
    <mergeCell ref="I22:J22"/>
    <mergeCell ref="K22:K23"/>
    <mergeCell ref="L22:L23"/>
  </mergeCells>
  <phoneticPr fontId="3" type="noConversion"/>
  <pageMargins left="1" right="1" top="1" bottom="1" header="0.5" footer="0.5"/>
  <pageSetup paperSize="14" scale="37" fitToHeight="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 96</dc:creator>
  <cp:lastModifiedBy>Apple 96</cp:lastModifiedBy>
  <cp:lastPrinted>2026-02-09T09:31:01Z</cp:lastPrinted>
  <dcterms:created xsi:type="dcterms:W3CDTF">2026-01-19T10:33:32Z</dcterms:created>
  <dcterms:modified xsi:type="dcterms:W3CDTF">2026-02-09T09:45:46Z</dcterms:modified>
</cp:coreProperties>
</file>