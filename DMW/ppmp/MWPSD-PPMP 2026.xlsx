
<file path=[Content_Types].xml><?xml version="1.0" encoding="utf-8"?>
<Types xmlns="http://schemas.openxmlformats.org/package/2006/content-types">
  <Default Extension="bin" ContentType="application/vnd.openxmlformats-officedocument.spreadsheetml.printerSettings"/>
  <Default Extension="png" ContentType="image/png"/>
  <Default Extension="svg" ContentType="image/svg+xml"/>
  <Default Extension="rels" ContentType="application/vnd.openxmlformats-package.relationships+xml"/>
  <Default Extension="xml" ContentType="application/xml"/>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0417"/>
  <workbookPr/>
  <mc:AlternateContent xmlns:mc="http://schemas.openxmlformats.org/markup-compatibility/2006">
    <mc:Choice Requires="x15">
      <x15ac:absPath xmlns:x15ac="http://schemas.microsoft.com/office/spreadsheetml/2010/11/ac" url="C:\Users\Teacher\Desktop\DMW FAD\procurement-app\DMW\ppmp\"/>
    </mc:Choice>
  </mc:AlternateContent>
  <xr:revisionPtr revIDLastSave="0" documentId="13_ncr:1_{D2A96902-8B39-47B6-AF9C-FD798334B877}" xr6:coauthVersionLast="36" xr6:coauthVersionMax="47" xr10:uidLastSave="{00000000-0000-0000-0000-000000000000}"/>
  <bookViews>
    <workbookView xWindow="-120" yWindow="-120" windowWidth="29040" windowHeight="15720" xr2:uid="{00000000-000D-0000-FFFF-FFFF00000000}"/>
  </bookViews>
  <sheets>
    <sheet name="Indicative PPMP (2)" sheetId="15" r:id="rId1"/>
    <sheet name="Guide to Fill-Out" sheetId="14" r:id="rId2"/>
    <sheet name="Reference 4 - MYCA Form" sheetId="4" r:id="rId3"/>
  </sheets>
  <externalReferences>
    <externalReference r:id="rId4"/>
  </externalReferences>
  <definedNames>
    <definedName name="_Indicate_Name">[1]PPMP!#REF!</definedName>
    <definedName name="_xlnm.Print_Area" localSheetId="1">'Guide to Fill-Out'!$A$1:$G$23</definedName>
    <definedName name="_xlnm.Print_Area" localSheetId="0">'Indicative PPMP (2)'!$A$1:$L$104</definedName>
    <definedName name="_xlnm.Print_Titles" localSheetId="0">'Indicative PPMP (2)'!$15:$17</definedName>
  </definedNames>
  <calcPr calcId="191028"/>
  <extLst>
    <ext xmlns:x15="http://schemas.microsoft.com/office/spreadsheetml/2010/11/main" uri="{140A7094-0E35-4892-8432-C4D2E57EDEB5}">
      <x15:workbookPr chartTrackingRefBase="1"/>
    </ext>
    <ext uri="GoogleSheetsCustomDataVersion1">
      <go:sheetsCustomData xmlns:go="http://customooxmlschemas.google.com/" r:id="rId14" roundtripDataSignature="AMtx7mjTwsiBkAdhBW2rmpNPh6fRSQivqA=="/>
    </ext>
  </extLst>
</workbook>
</file>

<file path=xl/calcChain.xml><?xml version="1.0" encoding="utf-8"?>
<calcChain xmlns="http://schemas.openxmlformats.org/spreadsheetml/2006/main">
  <c r="J58" i="15" l="1"/>
  <c r="J55" i="15"/>
  <c r="J52" i="15"/>
  <c r="J47" i="15"/>
  <c r="J29" i="15"/>
  <c r="J20" i="15"/>
  <c r="J70" i="15"/>
  <c r="J67" i="15"/>
  <c r="J69" i="15"/>
  <c r="J63" i="15"/>
  <c r="J81" i="15"/>
  <c r="J82" i="15"/>
  <c r="J68" i="15"/>
  <c r="J59" i="15"/>
  <c r="J60" i="15"/>
  <c r="J71" i="15"/>
  <c r="J83" i="15"/>
  <c r="J65" i="15"/>
  <c r="J64" i="15"/>
  <c r="J72" i="15"/>
  <c r="J62" i="15"/>
  <c r="J61" i="15"/>
  <c r="J57" i="15"/>
  <c r="J51" i="15" l="1"/>
  <c r="J48" i="15"/>
  <c r="J28" i="15"/>
  <c r="J27" i="15"/>
  <c r="J26" i="15"/>
  <c r="J25" i="15"/>
  <c r="J24" i="15"/>
  <c r="J23" i="15"/>
  <c r="J22" i="15"/>
  <c r="J21" i="15"/>
  <c r="J46" i="15"/>
  <c r="J45" i="15"/>
  <c r="J44" i="15"/>
  <c r="J42" i="15"/>
  <c r="J41" i="15"/>
  <c r="J40" i="15"/>
  <c r="J39" i="15"/>
  <c r="J38" i="15"/>
  <c r="J37" i="15"/>
  <c r="J36" i="15"/>
  <c r="J35" i="15"/>
  <c r="J34" i="15"/>
  <c r="J33" i="15"/>
  <c r="J32" i="15"/>
  <c r="J31" i="15"/>
  <c r="J30" i="15"/>
  <c r="J74" i="15"/>
  <c r="J92" i="15"/>
  <c r="J88" i="15"/>
  <c r="J78" i="15"/>
  <c r="J53" i="15"/>
  <c r="J93" i="15" l="1"/>
</calcChain>
</file>

<file path=xl/sharedStrings.xml><?xml version="1.0" encoding="utf-8"?>
<sst xmlns="http://schemas.openxmlformats.org/spreadsheetml/2006/main" count="684" uniqueCount="270">
  <si>
    <t>Column 1</t>
  </si>
  <si>
    <t>Column 2</t>
  </si>
  <si>
    <t>Column 3</t>
  </si>
  <si>
    <t>Column 4</t>
  </si>
  <si>
    <t>Column 5</t>
  </si>
  <si>
    <t>Column 6</t>
  </si>
  <si>
    <t>Column 7</t>
  </si>
  <si>
    <t>Column 8</t>
  </si>
  <si>
    <t>Column 9</t>
  </si>
  <si>
    <t>Column 10</t>
  </si>
  <si>
    <t>Column 11</t>
  </si>
  <si>
    <t>Column 12</t>
  </si>
  <si>
    <t>Goods</t>
  </si>
  <si>
    <t>Competitive Bidding</t>
  </si>
  <si>
    <t>Yes</t>
  </si>
  <si>
    <t>No</t>
  </si>
  <si>
    <t>Consulting Services</t>
  </si>
  <si>
    <t>N/A</t>
  </si>
  <si>
    <t>Prepared by:</t>
  </si>
  <si>
    <r>
      <rPr>
        <b/>
        <sz val="20"/>
        <color rgb="FF000000"/>
        <rFont val="Symbol"/>
        <family val="1"/>
        <charset val="2"/>
      </rPr>
      <t xml:space="preserve"> </t>
    </r>
    <r>
      <rPr>
        <b/>
        <sz val="20"/>
        <color rgb="FF000000"/>
        <rFont val="Arial"/>
        <family val="2"/>
        <scheme val="major"/>
      </rPr>
      <t>INDICATIVE</t>
    </r>
  </si>
  <si>
    <t>FINAL</t>
  </si>
  <si>
    <t xml:space="preserve">End-User or Implementing Unit: </t>
  </si>
  <si>
    <t>PROCUREMENT PROJECT DETAILS</t>
  </si>
  <si>
    <t>PROJECTED TIMELINE (MM/YYYY)</t>
  </si>
  <si>
    <t>FUNDING DETAILS</t>
  </si>
  <si>
    <t xml:space="preserve">ATTACHED SUPPORTING DOCUMENTS </t>
  </si>
  <si>
    <t>REMARKS</t>
  </si>
  <si>
    <t xml:space="preserve">General Description and Objective 
of the Project to be Procured
</t>
  </si>
  <si>
    <t>Type of the Project 
to be Procured
(whether Goods, Infrastructure and Consulting Services)</t>
  </si>
  <si>
    <t xml:space="preserve">Quantity and Size of the Project 
to be Procured  </t>
  </si>
  <si>
    <t xml:space="preserve">Recommended Mode of Procurement </t>
  </si>
  <si>
    <t>Start of Procurement Activity</t>
  </si>
  <si>
    <t xml:space="preserve">End of Procurement Activity </t>
  </si>
  <si>
    <t>Expected Delivery/ Implementation Period</t>
  </si>
  <si>
    <t>Source of Funds</t>
  </si>
  <si>
    <t xml:space="preserve">Estimated Budget / Authorized Budgetary Allocation (PhP)
</t>
  </si>
  <si>
    <t xml:space="preserve">Refers to the type of procurement—whether for Goods (e.g., supplies, materials, ICT equipment, medicines); Infrastructure Projects (e.g., roads, buildings, site development or land improvement, public utilities such as water systems or flood control); Consulting Services (e.g., feasibility studies, advisory and management consulting, training and capacity building); or General Support Services (e.g., security, janitorial, transportation and logistics, training and event management). It also describes the objective of the project.
</t>
  </si>
  <si>
    <t>Refers to quantity / size of the contract (whether by lot, item or package). If items are too many to use this column, a separate attachment may be included)
Item refers to the smallest unit or individual good/service being procured.
Lot refers to a group or related items bundled together in one bidding.
Package is a collection of one or more lots grouped under a single procurement project 
It is sufficient to indicate that this information is reflected in the Technical Specifications, Scope of Work (SOW), or Terms of Reference (TOR) (as applicable) when the latter is attached to this PPMP.</t>
  </si>
  <si>
    <t xml:space="preserve">Indicate applicable procurement mode under RA No. 12009 recommended by the End-User.
</t>
  </si>
  <si>
    <t>Indicate the  projected month (MM/YYYY) of the Pre-procurement Conference</t>
  </si>
  <si>
    <t xml:space="preserve">Indicate the  projected month (MM/YYYY) of the start of procurement activity which will depend on the applicable mode of procurement used by the Procuring Entity.  (e.g. Publication for Competitive Bidding; Posting of RFQ (if required) for SVP, as the case may be).
</t>
  </si>
  <si>
    <t xml:space="preserve">Indicate the projected month (MM/YYYY) of issuance of Notice of Award or Purchase Order, as the case may be, based on the prescribed procurement timelines.
</t>
  </si>
  <si>
    <t>This refers to the target start date (MM/YYYY) when the delivery of goods, implementation of infrastructure projects, or provision of consulting services is expected to begin, indicating when the project is needed.
The End-User may indicate "as needed" if the project is on a "per need" basis, i.e repair works</t>
  </si>
  <si>
    <t xml:space="preserve">The fund source for the payment of the project to be procured may include, but shall not be limited to the following: General Appropriations Act (GAA) for NGAs, Corporate Operating Budget for GOCCs and GFIs, Internally Generated Funds for SUCs, General or other sources of fund for  LGUs,  Special Purpose Funds or Trust Funds for special allocations/donor or grants, and Foreign Assisted Projects (FAPs) for projects funded by development partners.  
 </t>
  </si>
  <si>
    <t>Use Estimated Budget when the GAA or other appropriate fund source has not yet been passed or approved  and Authorized Budgetary Allocation when the GAA or other appropriate fund source has been passed or approved. 
 It is understood that these amounts have been determined after the conduct of market scoping.</t>
  </si>
  <si>
    <t>TOTAL BUDGET:</t>
  </si>
  <si>
    <t xml:space="preserve">Submitted by: </t>
  </si>
  <si>
    <t>Date : ____________</t>
  </si>
  <si>
    <r>
      <t xml:space="preserve">Pre-Procurement Conference, if applicable </t>
    </r>
    <r>
      <rPr>
        <b/>
        <sz val="16"/>
        <rFont val="Arial"/>
        <family val="2"/>
      </rPr>
      <t>(Yes/No)</t>
    </r>
  </si>
  <si>
    <r>
      <t xml:space="preserve">This column refers to the additional details regarding the project, such as, but not limited to the following:
 a. basis of changes from previous PPMP
</t>
    </r>
    <r>
      <rPr>
        <sz val="16"/>
        <color rgb="FF000000"/>
        <rFont val="Arial"/>
        <family val="2"/>
      </rPr>
      <t>b. contract package details : i.e, estimated budget for the whole period (in case of multi-year contracts)
c. Procurement Strategies to be used.</t>
    </r>
    <r>
      <rPr>
        <i/>
        <sz val="16"/>
        <color rgb="FF000000"/>
        <rFont val="Arial"/>
        <family val="2"/>
      </rPr>
      <t xml:space="preserve">
d. </t>
    </r>
    <r>
      <rPr>
        <i/>
        <sz val="16"/>
        <color rgb="FFFF0000"/>
        <rFont val="Arial"/>
        <family val="2"/>
      </rPr>
      <t>Recommended Award criterion (Lowest Calculated and Responsive Bid (LCRB), Most Economically Advantageous Responsive Bid (MEARB), Most Advantageous Responsive Bid / Highest Rated Responsive Bid (MARB/HRRB), Lowest Comparative or Competitive Responsive Bid (LCCRB)</t>
    </r>
  </si>
  <si>
    <t xml:space="preserve">Guide to Filling Out the PPMP Form </t>
  </si>
  <si>
    <t>Particular</t>
  </si>
  <si>
    <t>Basis/References,
 if any</t>
  </si>
  <si>
    <t>Notes</t>
  </si>
  <si>
    <t>Illustration/Examples</t>
  </si>
  <si>
    <t>Infrastructure</t>
  </si>
  <si>
    <t>Consulting</t>
  </si>
  <si>
    <t>Heading</t>
  </si>
  <si>
    <t>Title of the Document "Project Procurement Plan No. ___"</t>
  </si>
  <si>
    <t>IRR of RA No. 12009- Section 7.7.2 to 7.7.3</t>
  </si>
  <si>
    <t xml:space="preserve">Indicate the Project Procurement Management Plan No. (first submitted version of the Indicative PPMP as No. 1, succeeding update/final PPMP as No. 2, and so on), then place a check (✔) whether the PPMP is Indicative or Final, in consideration of the following:
An "Indicative" PPMP is being prepared as part of the budget proposal preparation, while the budget allocation is not yet approved/final.
A Final PPMP is being prepared as a result of the final and approved budgetary allocation of the General Appropriations Act, corporate operating budget or appropriation ordinance, as the case maybe. </t>
  </si>
  <si>
    <t>-</t>
  </si>
  <si>
    <t>Column No. 1</t>
  </si>
  <si>
    <t>General Description and Objective of the Project to be Procured</t>
  </si>
  <si>
    <t>IRR of RA No. 12009- Section 7.7.1 (b)</t>
  </si>
  <si>
    <t>Provide a concise but clear description of the project and its intended purpose. Indicate whether the project will be implemented through procurement or by administration.  If applicable, specify whether the activity supports a program, mandate, or operational need.</t>
  </si>
  <si>
    <t>Supply and Delivery of Uniform long sleeve T-shirt with Print, Shovel and Wheelbarrow for Billy Bayong Program of National Road and Bridges, X Office, Brgy. X, Municipality of X, X City</t>
  </si>
  <si>
    <t xml:space="preserve"> Improvement and repair of existing facilities, buildings, and structures and  Proposed construction of the Billy Bayong Sports Complex in the XX Region, including a covered walkway (by Administration)</t>
  </si>
  <si>
    <t>Procurement of Technical Assistance for QMS Implementation towards ISO 9001:2015 Certification</t>
  </si>
  <si>
    <t xml:space="preserve">Column No. 2 </t>
  </si>
  <si>
    <t>Type of the Project to be Procured (whether Goods, Infrastructure and Consulting Services)</t>
  </si>
  <si>
    <t>Indicate the type of procurement—whether for Goods, Infrastructure Projects or  Consulting Services.  If classified as General Support Services, indicate Goods (General Support Services).</t>
  </si>
  <si>
    <t xml:space="preserve">Infrastructure </t>
  </si>
  <si>
    <t>Column No. 3</t>
  </si>
  <si>
    <t xml:space="preserve">Quantity and Size of the Project to be Procured  </t>
  </si>
  <si>
    <r>
      <rPr>
        <sz val="11"/>
        <color rgb="FF000000"/>
        <rFont val="Arial"/>
        <family val="2"/>
      </rPr>
      <t xml:space="preserve">
Indicate the quantity and size of the procurement activity.  If the projects consists of lots, each lot must be  presented in a separate row, especially when multiple lots are involved. If the number of items is too large to fit in this column, a separate attachment may be used. 
Guide on Quantity and Size as defined by Procurement Category
1. Goods
     • Quantity : The total number of individual items or units to be supplied.
        Example: Ordering 200 desktop computers means the quantity is 200.
     • Size : The physical dimensions, capacity, or specification of each item.
        Example: Each computer must have a 15-inch monitor and 16GB RAM.
2. Infrastructure Projects
     • Quantity : The total extent or number of components to be constructed or installed.
       Example: Building 3 bridges or laying 500 meters of road.
     • Size: The scale, dimensions, or capacity of each component or structure.
        Example: Each bridge must be 50 meters long, or the road must be 6 meters wide.
3.  Consulting Services
     • Quantity : The number of consultants, teams, or person-months required for the assignment.
       Example: Engaging 2 consulting teams or contracting for 12 person-months of expert input.
     • Size: The scope, scale, or coverage of the consulting assignment, such as the organizational  
        level or geographic area impacted.
        Example: Consulting on a nationwide IT system rollout, or an assignment covering five provinces.
</t>
    </r>
    <r>
      <rPr>
        <i/>
        <sz val="11"/>
        <color rgb="FF000000"/>
        <rFont val="Arial"/>
        <family val="2"/>
      </rPr>
      <t xml:space="preserve">
These definitions ensure clarity in procurement documents, helping suppliers and service providers understand both how much is needed (quantity) and the specific requirements or scale of each unit or assignment (size).
</t>
    </r>
    <r>
      <rPr>
        <i/>
        <sz val="10"/>
        <color rgb="FF000000"/>
        <rFont val="Arial"/>
        <family val="2"/>
      </rPr>
      <t xml:space="preserve">
</t>
    </r>
  </si>
  <si>
    <t xml:space="preserve">[For the Billy Bayong Program for National Road and Bridges, X Office, Brgy. X, Municipality of X, X City]
Lot 1
Quantity :
14,000 pcs. short-sleeved T-shirts with print
14,000 pcs. handtowels
Size :
T-shirt: standard adult size with front and/or back print 
Handtowel: 8 inches x 12 inches, cotton fabric
Lot 2
Quantity:
 2,200 pcs. shovels
1,300 pcs. wheelbarrows
Size :
Shovel: standard length, e.g., 38 inches long with a steel blade and wooden handle
Wheelbarrow: single-wheel, heavy-duty steel tray with 65 liter capacity
</t>
  </si>
  <si>
    <t xml:space="preserve">[For the Improvement/ Repair of Existing Structures and Construction of Sports Complex]
Quantity:
Two (2) components: 
1.Improvement and repair of existing building and structures
2. Construction of sports complex with covered walkway
Size:
1. Floor area to be rehabilitated- 500 sq.m.
2.  Sports Complex- 30 m x 50m structure with seating capacity for 500 persons and a covered walkway 60m  long x 3 m wide, steel frame with concrete pavement and roofing.
</t>
  </si>
  <si>
    <r>
      <rPr>
        <i/>
        <sz val="10"/>
        <color rgb="FF000000"/>
        <rFont val="Arial"/>
        <family val="2"/>
        <scheme val="major"/>
      </rPr>
      <t xml:space="preserve">[For the Procurement of Technical Assistance for QMS Implementation Towards ISO 9001:2015 Certification]
Quantity: 
One (1) consultancy engagement
Size:
Full implementation of a QMS compliant with ISO 9001:2015 to cover all functional units of the XXX agency
</t>
    </r>
    <r>
      <rPr>
        <i/>
        <sz val="10"/>
        <color rgb="FFFF0000"/>
        <rFont val="Arial"/>
        <family val="2"/>
        <scheme val="major"/>
      </rPr>
      <t xml:space="preserve"> </t>
    </r>
  </si>
  <si>
    <t>Column No. 4</t>
  </si>
  <si>
    <t>IRR of RA No. 12009- Section 7.7.1 (d)</t>
  </si>
  <si>
    <t xml:space="preserve">Indicate applicable procurement mode under RA No. 12009.
The Bids and Awards Committee shall recommend to the Head of the Procuring Entity the use of any of the modes of procurement through the Annual Procurement Plan. </t>
  </si>
  <si>
    <t>N/A (To be undertaken by Administration)</t>
  </si>
  <si>
    <t>Negotiated Procurement - Highly Technical Consultant</t>
  </si>
  <si>
    <t>Column No. 5</t>
  </si>
  <si>
    <t>Pre-Procurement Conference, if applicable</t>
  </si>
  <si>
    <t>IRR of RA No. 12009- Section 7.7.1 (e)</t>
  </si>
  <si>
    <t>Indicate yes or no if the Pre-proocurement Conference is to be undertaken in accordance with the RA No 12009 and its IRR.</t>
  </si>
  <si>
    <t>Column No. 6</t>
  </si>
  <si>
    <t>Indicate the  projected month and year (MM/YYYY) of the start of procurement activity which will depend on the prescribed procurement timeline of the applicable mode of procurement used by the Procuring Entity (e.g. Pre-procurement Conference, Publication, Posting, Issuance of the RFQ, as the case may be).</t>
  </si>
  <si>
    <t xml:space="preserve">04/2026
</t>
  </si>
  <si>
    <t xml:space="preserve">03/2026
</t>
  </si>
  <si>
    <t>Column No. 7</t>
  </si>
  <si>
    <t>Indicate the projected month and year (MM/YYYY) of issuance of Notice of Award or Purchase Order, as the case may be, based on the prescribed procurement timelines of the applicable mode of procurement used by the Procuring Entity.</t>
  </si>
  <si>
    <t xml:space="preserve">05/2025
</t>
  </si>
  <si>
    <t>Column No. 8</t>
  </si>
  <si>
    <r>
      <t xml:space="preserve">Indicate the month </t>
    </r>
    <r>
      <rPr>
        <sz val="11"/>
        <rFont val="Arial"/>
        <family val="2"/>
        <scheme val="major"/>
      </rPr>
      <t>and year (MM/YYYY) of the expected delivery of goods or implementation of the project, as the case may be.</t>
    </r>
  </si>
  <si>
    <t xml:space="preserve">07/2025
</t>
  </si>
  <si>
    <t xml:space="preserve">06/2026 to 06/2028
</t>
  </si>
  <si>
    <t xml:space="preserve">03/2026 to 08/2026
</t>
  </si>
  <si>
    <t>Column No. 9</t>
  </si>
  <si>
    <t> </t>
  </si>
  <si>
    <t>Indicate the proposed source of fund  for the Project. This may include, but is not limited to: the General Appropriations Act - Current or Continuing, Corporate Operating Budget, Appropriation Ordinance, Internally Generated Income, Special Purpose Fund, Trust Fund, or Foreign-Assisted Fund, consistent with the agency’s approved budget documents.</t>
  </si>
  <si>
    <t>GAA 2026 - Current Appropriation</t>
  </si>
  <si>
    <t>GAA 2024 - Continuing Appropriation</t>
  </si>
  <si>
    <t>Internally- Generated Income</t>
  </si>
  <si>
    <t>Column No. 10</t>
  </si>
  <si>
    <t xml:space="preserve">Estimated Budget / Authorized Budgetary Allocation </t>
  </si>
  <si>
    <t>IRR of RA No. 12009- Section 7.7.1 (f)</t>
  </si>
  <si>
    <t>Indicate Estimated Budget on Indicative PPMP when the GAA or other appropriate fund source has not yet been passed or approved. Otherwise, indicate the Authorized Budgetary Allocation on Final PPMP when the GAA or other appropriate fund source has been passed or approved.</t>
  </si>
  <si>
    <t>Php12,499,544.00</t>
  </si>
  <si>
    <t>Php15,900,000.00</t>
  </si>
  <si>
    <t>Php750,000.00</t>
  </si>
  <si>
    <t>Column No. 11</t>
  </si>
  <si>
    <t>Attached Supporting Document/s</t>
  </si>
  <si>
    <t>IRR of RA No. 12009- Section 7.7.1 (g) and Section 10</t>
  </si>
  <si>
    <r>
      <rPr>
        <sz val="11"/>
        <color rgb="FF000000"/>
        <rFont val="Arial"/>
        <family val="2"/>
        <scheme val="minor"/>
      </rPr>
      <t xml:space="preserve">Indicate the supporting documents for each corresponding Project attached to the PPMP, which includes the Market Scoping Checklist and other relevant documents such as Technical Specifications, Detailed Engineering, Scope of Work or Terms of Reference and any equivalent document as applicable.
</t>
    </r>
    <r>
      <rPr>
        <b/>
        <sz val="11"/>
        <color rgb="FF000000"/>
        <rFont val="Arial"/>
        <family val="2"/>
        <scheme val="minor"/>
      </rPr>
      <t xml:space="preserve">NOTE: </t>
    </r>
    <r>
      <rPr>
        <sz val="11"/>
        <color rgb="FF000000"/>
        <rFont val="Arial"/>
        <family val="2"/>
        <scheme val="minor"/>
      </rPr>
      <t xml:space="preserve">The duly accomplished Market Scoping Checklist for each procurement project is a mandatory supporting document to the PPMP.  </t>
    </r>
  </si>
  <si>
    <t xml:space="preserve">Technical Specifications </t>
  </si>
  <si>
    <t>Scope of  Work, Engineering. Plan, Feasibility Study</t>
  </si>
  <si>
    <t>Terms of Reference</t>
  </si>
  <si>
    <t>Column No. 12</t>
  </si>
  <si>
    <t xml:space="preserve">Remarks </t>
  </si>
  <si>
    <t>Indicate additional details regarding the Project, such as, but not limited to the following:
a. Basis of changes from previous PPMP
b. Contract package details : i.e, estimated budget for the whole period (in case of multi-year contracts)
c. Procurement Strategies to be used</t>
  </si>
  <si>
    <t>Updated ABC due to bid failure under BAC Resolution No. xx-2026, proposing for Framework Agreement</t>
  </si>
  <si>
    <t>To be undertaken by Administration c/o the Engineering Department</t>
  </si>
  <si>
    <t>Disclaimer: The Multi-Year Contracting Authority (formerly Multi-Year Obligational Authority) is a document issued by DBM either for locally funded projects or foreign assisted projects implemented by agencies in order to authorize the latter to enter into multi-year contracts for the full project cost. 
For guidelines on securing MYCA from the DBM, please refer to DBM Circular Letter No. 2015-7 dated 3 June 2015. 
In the case of GOCCs and LGUs whose fund sources are not covered by the GAA, an equivalent document shall be issued to pursue any Multi-Year Project.
Any question or clarification regarding the form shall be directed to the appropriate agency.</t>
  </si>
  <si>
    <t>IRR of RA No. 12009- Section 7.7.1 (c)</t>
  </si>
  <si>
    <t>Department of Migrant Workers</t>
  </si>
  <si>
    <t>Republic of the Philippines</t>
  </si>
  <si>
    <t>Regional Office - XIII</t>
  </si>
  <si>
    <r>
      <t xml:space="preserve">PROJECT PROCUREMENT MANAGEMENT PLAN (PPMP) NO. </t>
    </r>
    <r>
      <rPr>
        <b/>
        <u/>
        <sz val="22"/>
        <rFont val="Arial"/>
        <family val="2"/>
      </rPr>
      <t>01</t>
    </r>
  </si>
  <si>
    <t>MIGRANT WORKERS PROCESSING DIVISION</t>
  </si>
  <si>
    <t xml:space="preserve">Fiscal Year : </t>
  </si>
  <si>
    <t>ICT OFFICE SUPPLIES EXPENSES</t>
  </si>
  <si>
    <t>OFFICE SUPPLIES EXPENSES</t>
  </si>
  <si>
    <t>SEMI-OFFICE EQUIPMENT</t>
  </si>
  <si>
    <t>SEMI-ICT EQUIPMENT</t>
  </si>
  <si>
    <t>SEMI- FURNITURE &amp; FIXTURES</t>
  </si>
  <si>
    <t>OTHER SUPPLIES AND MATERIALS</t>
  </si>
  <si>
    <t>REPRESENTATION EXPENSES</t>
  </si>
  <si>
    <t>OTHER MOOE</t>
  </si>
  <si>
    <t>2 unit @ P22,000/ unit</t>
  </si>
  <si>
    <t>1 piece @ P6,000/ piece</t>
  </si>
  <si>
    <t>AURORA JEAN A. TORRALBA</t>
  </si>
  <si>
    <t>Labor and Employment Officer I</t>
  </si>
  <si>
    <r>
      <rPr>
        <b/>
        <sz val="12"/>
        <color rgb="FF000000"/>
        <rFont val="Arial"/>
        <family val="2"/>
      </rPr>
      <t>INK Refill</t>
    </r>
    <r>
      <rPr>
        <sz val="12"/>
        <color rgb="FF000000"/>
        <rFont val="Arial"/>
        <family val="2"/>
      </rPr>
      <t xml:space="preserve">
</t>
    </r>
    <r>
      <rPr>
        <i/>
        <sz val="12"/>
        <color rgb="FF000000"/>
        <rFont val="Arial"/>
        <family val="2"/>
      </rPr>
      <t xml:space="preserve">   Color: Black
   Unit: Bottle; 65mL
   Good for EPSON L3250 Printer</t>
    </r>
  </si>
  <si>
    <r>
      <rPr>
        <b/>
        <sz val="12"/>
        <color rgb="FF000000"/>
        <rFont val="Arial"/>
        <family val="2"/>
      </rPr>
      <t>INK Refill</t>
    </r>
    <r>
      <rPr>
        <sz val="12"/>
        <color rgb="FF000000"/>
        <rFont val="Arial"/>
        <family val="2"/>
      </rPr>
      <t xml:space="preserve">
</t>
    </r>
    <r>
      <rPr>
        <i/>
        <sz val="12"/>
        <color rgb="FF000000"/>
        <rFont val="Arial"/>
        <family val="2"/>
      </rPr>
      <t xml:space="preserve">   Color: Cyan
   Unit: Bottle; 65mL
   Good for EPSON L3250 Printer</t>
    </r>
  </si>
  <si>
    <r>
      <rPr>
        <b/>
        <sz val="12"/>
        <color rgb="FF000000"/>
        <rFont val="Arial"/>
        <family val="2"/>
      </rPr>
      <t>INK Refill</t>
    </r>
    <r>
      <rPr>
        <sz val="12"/>
        <color rgb="FF000000"/>
        <rFont val="Arial"/>
        <family val="2"/>
      </rPr>
      <t xml:space="preserve">
</t>
    </r>
    <r>
      <rPr>
        <i/>
        <sz val="12"/>
        <color rgb="FF000000"/>
        <rFont val="Arial"/>
        <family val="2"/>
      </rPr>
      <t xml:space="preserve">   Color: Magenta
   Unit: Bottle; 65mL
   Good for EPSON L3250 Printer</t>
    </r>
  </si>
  <si>
    <r>
      <rPr>
        <b/>
        <sz val="12"/>
        <color rgb="FF000000"/>
        <rFont val="Arial"/>
        <family val="2"/>
      </rPr>
      <t>INK Refill</t>
    </r>
    <r>
      <rPr>
        <sz val="12"/>
        <color rgb="FF000000"/>
        <rFont val="Arial"/>
        <family val="2"/>
      </rPr>
      <t xml:space="preserve">
</t>
    </r>
    <r>
      <rPr>
        <i/>
        <sz val="12"/>
        <color rgb="FF000000"/>
        <rFont val="Arial"/>
        <family val="2"/>
      </rPr>
      <t xml:space="preserve">   Color: Yellow
   Unit: Bottle; 65mL
   Good for EPSON L3250 Printer</t>
    </r>
  </si>
  <si>
    <r>
      <rPr>
        <b/>
        <sz val="12"/>
        <color rgb="FF000000"/>
        <rFont val="Arial"/>
        <family val="2"/>
      </rPr>
      <t>INK Refill</t>
    </r>
    <r>
      <rPr>
        <sz val="12"/>
        <color rgb="FF000000"/>
        <rFont val="Arial"/>
        <family val="2"/>
      </rPr>
      <t xml:space="preserve">
</t>
    </r>
    <r>
      <rPr>
        <i/>
        <sz val="12"/>
        <color rgb="FF000000"/>
        <rFont val="Arial"/>
        <family val="2"/>
      </rPr>
      <t xml:space="preserve">   Color: Black
   Unit: Bottle; 65mL
   Good for EPSON L5290 Printer</t>
    </r>
  </si>
  <si>
    <r>
      <rPr>
        <b/>
        <sz val="12"/>
        <color rgb="FF000000"/>
        <rFont val="Arial"/>
        <family val="2"/>
      </rPr>
      <t>INK Refill</t>
    </r>
    <r>
      <rPr>
        <sz val="12"/>
        <color rgb="FF000000"/>
        <rFont val="Arial"/>
        <family val="2"/>
      </rPr>
      <t xml:space="preserve">
</t>
    </r>
    <r>
      <rPr>
        <i/>
        <sz val="12"/>
        <color rgb="FF000000"/>
        <rFont val="Arial"/>
        <family val="2"/>
      </rPr>
      <t xml:space="preserve">   Color: Cyan
   Unit: Bottle; 65mL
   Good for EPSON L5290 Printer</t>
    </r>
  </si>
  <si>
    <r>
      <rPr>
        <b/>
        <sz val="12"/>
        <color rgb="FF000000"/>
        <rFont val="Arial"/>
        <family val="2"/>
      </rPr>
      <t>INK Refill</t>
    </r>
    <r>
      <rPr>
        <sz val="12"/>
        <color rgb="FF000000"/>
        <rFont val="Arial"/>
        <family val="2"/>
      </rPr>
      <t xml:space="preserve">
</t>
    </r>
    <r>
      <rPr>
        <i/>
        <sz val="12"/>
        <color rgb="FF000000"/>
        <rFont val="Arial"/>
        <family val="2"/>
      </rPr>
      <t xml:space="preserve">   Color: Magenta
   Unit: Bottle; 65mL
   Good for EPSON L5290 Printer</t>
    </r>
  </si>
  <si>
    <r>
      <rPr>
        <b/>
        <sz val="12"/>
        <color rgb="FF000000"/>
        <rFont val="Arial"/>
        <family val="2"/>
      </rPr>
      <t>INK Refill</t>
    </r>
    <r>
      <rPr>
        <sz val="12"/>
        <color rgb="FF000000"/>
        <rFont val="Arial"/>
        <family val="2"/>
      </rPr>
      <t xml:space="preserve">
</t>
    </r>
    <r>
      <rPr>
        <i/>
        <sz val="12"/>
        <color rgb="FF000000"/>
        <rFont val="Arial"/>
        <family val="2"/>
      </rPr>
      <t xml:space="preserve">   Color: Yellow
   Unit: Bottle; 65mL
   Good for EPSON L5290 Printer</t>
    </r>
  </si>
  <si>
    <r>
      <rPr>
        <b/>
        <sz val="12"/>
        <color rgb="FF000000"/>
        <rFont val="Arial"/>
        <family val="2"/>
      </rPr>
      <t>Paper</t>
    </r>
    <r>
      <rPr>
        <sz val="12"/>
        <color rgb="FF000000"/>
        <rFont val="Arial"/>
        <family val="2"/>
      </rPr>
      <t xml:space="preserve">
 </t>
    </r>
    <r>
      <rPr>
        <i/>
        <sz val="12"/>
        <color rgb="FF000000"/>
        <rFont val="Arial"/>
        <family val="2"/>
      </rPr>
      <t xml:space="preserve">  Type: Bondpaper</t>
    </r>
    <r>
      <rPr>
        <sz val="12"/>
        <color rgb="FF000000"/>
        <rFont val="Arial"/>
        <family val="2"/>
      </rPr>
      <t xml:space="preserve">
</t>
    </r>
    <r>
      <rPr>
        <i/>
        <sz val="12"/>
        <color rgb="FF000000"/>
        <rFont val="Arial"/>
        <family val="2"/>
      </rPr>
      <t xml:space="preserve">   Size: A4
   80gsm
   Unit: Ream</t>
    </r>
  </si>
  <si>
    <r>
      <rPr>
        <b/>
        <sz val="12"/>
        <color rgb="FF000000"/>
        <rFont val="Arial"/>
        <family val="2"/>
      </rPr>
      <t>Paper</t>
    </r>
    <r>
      <rPr>
        <sz val="12"/>
        <color rgb="FF000000"/>
        <rFont val="Arial"/>
        <family val="2"/>
      </rPr>
      <t xml:space="preserve">
 </t>
    </r>
    <r>
      <rPr>
        <i/>
        <sz val="12"/>
        <color rgb="FF000000"/>
        <rFont val="Arial"/>
        <family val="2"/>
      </rPr>
      <t xml:space="preserve">  Type: Bondpaper</t>
    </r>
    <r>
      <rPr>
        <sz val="12"/>
        <color rgb="FF000000"/>
        <rFont val="Arial"/>
        <family val="2"/>
      </rPr>
      <t xml:space="preserve">
</t>
    </r>
    <r>
      <rPr>
        <i/>
        <sz val="12"/>
        <color rgb="FF000000"/>
        <rFont val="Arial"/>
        <family val="2"/>
      </rPr>
      <t xml:space="preserve">   Size: Legal
   80gsm
   Unit: Ream</t>
    </r>
  </si>
  <si>
    <t>OFFICE OPERATION</t>
  </si>
  <si>
    <t>1. Conduct of Dialouge with Provincial PESO, City PESO, and DOLE Field Offices</t>
  </si>
  <si>
    <t>2. Conduct of Job Fair during Migrants Day</t>
  </si>
  <si>
    <t>52 pax @ P1,014.40/pax</t>
  </si>
  <si>
    <t>PRINTING AND BINDING EXPENSES</t>
  </si>
  <si>
    <t>27 pax</t>
  </si>
  <si>
    <r>
      <rPr>
        <b/>
        <sz val="12"/>
        <color rgb="FF000000"/>
        <rFont val="Arial"/>
        <family val="2"/>
      </rPr>
      <t>Accommodation</t>
    </r>
    <r>
      <rPr>
        <sz val="12"/>
        <color rgb="FF000000"/>
        <rFont val="Arial"/>
        <family val="2"/>
      </rPr>
      <t xml:space="preserve">
 </t>
    </r>
    <r>
      <rPr>
        <i/>
        <sz val="12"/>
        <color rgb="FF000000"/>
        <rFont val="Arial"/>
        <family val="2"/>
      </rPr>
      <t xml:space="preserve">  Room type: SINGLE (single bed).
  Inclusion: w/ free breakfast, free wi-fi, and amenities…</t>
    </r>
  </si>
  <si>
    <r>
      <rPr>
        <b/>
        <sz val="12"/>
        <color rgb="FF000000"/>
        <rFont val="Arial"/>
        <family val="2"/>
      </rPr>
      <t>Meals and Snacks</t>
    </r>
    <r>
      <rPr>
        <sz val="12"/>
        <color rgb="FF000000"/>
        <rFont val="Arial"/>
        <family val="2"/>
      </rPr>
      <t xml:space="preserve">
 </t>
    </r>
    <r>
      <rPr>
        <i/>
        <sz val="12"/>
        <color rgb="FF000000"/>
        <rFont val="Arial"/>
        <family val="2"/>
      </rPr>
      <t xml:space="preserve">  AM Snack, Lunch, PM Snack, Dinner with flowing Coffee</t>
    </r>
    <r>
      <rPr>
        <sz val="12"/>
        <color rgb="FF000000"/>
        <rFont val="Arial"/>
        <family val="2"/>
      </rPr>
      <t xml:space="preserve"> </t>
    </r>
  </si>
  <si>
    <r>
      <rPr>
        <b/>
        <sz val="12"/>
        <color rgb="FF000000"/>
        <rFont val="Arial"/>
        <family val="2"/>
      </rPr>
      <t>Meals and Snacks</t>
    </r>
    <r>
      <rPr>
        <sz val="12"/>
        <color rgb="FF000000"/>
        <rFont val="Arial"/>
        <family val="2"/>
      </rPr>
      <t xml:space="preserve">
 </t>
    </r>
    <r>
      <rPr>
        <i/>
        <sz val="12"/>
        <color rgb="FF000000"/>
        <rFont val="Arial"/>
        <family val="2"/>
      </rPr>
      <t xml:space="preserve">  AM Snack, Lunch, PM Snack</t>
    </r>
    <r>
      <rPr>
        <sz val="12"/>
        <color rgb="FF000000"/>
        <rFont val="Arial"/>
        <family val="2"/>
      </rPr>
      <t xml:space="preserve"> with flowing Coffee and free use of venue for 1 day</t>
    </r>
  </si>
  <si>
    <t>10 pax @ 2 nights/ pax @ P2,295/ night</t>
  </si>
  <si>
    <r>
      <rPr>
        <b/>
        <sz val="12"/>
        <color rgb="FF000000"/>
        <rFont val="Arial"/>
        <family val="2"/>
      </rPr>
      <t>Tapaulin Printing</t>
    </r>
    <r>
      <rPr>
        <sz val="12"/>
        <color rgb="FF000000"/>
        <rFont val="Arial"/>
        <family val="2"/>
      </rPr>
      <t xml:space="preserve">
 </t>
    </r>
    <r>
      <rPr>
        <i/>
        <sz val="12"/>
        <color rgb="FF000000"/>
        <rFont val="Arial"/>
        <family val="2"/>
      </rPr>
      <t xml:space="preserve">  Thickness: 15oz.</t>
    </r>
  </si>
  <si>
    <r>
      <rPr>
        <b/>
        <sz val="12"/>
        <color rgb="FF000000"/>
        <rFont val="Arial"/>
        <family val="2"/>
      </rPr>
      <t>Brochure Printing</t>
    </r>
    <r>
      <rPr>
        <sz val="12"/>
        <color rgb="FF000000"/>
        <rFont val="Arial"/>
        <family val="2"/>
      </rPr>
      <t xml:space="preserve">
 </t>
    </r>
    <r>
      <rPr>
        <i/>
        <sz val="12"/>
        <color rgb="FF000000"/>
        <rFont val="Arial"/>
        <family val="2"/>
      </rPr>
      <t xml:space="preserve">  Brochures Type : A4 size, C2S Trifold, glossy (front and back), 200gsm</t>
    </r>
  </si>
  <si>
    <t xml:space="preserve"> 200 copies @ P40/ copy</t>
  </si>
  <si>
    <t>350 sq. ft @ P20/sq. ft.</t>
  </si>
  <si>
    <t>3. Year‑End Performance Assessment (YEPA)</t>
  </si>
  <si>
    <t>45 pax @ 6,863.36/pax</t>
  </si>
  <si>
    <r>
      <rPr>
        <b/>
        <sz val="12"/>
        <color rgb="FF000000"/>
        <rFont val="Arial"/>
        <family val="2"/>
      </rPr>
      <t>Meals,Snacks, Accommodation</t>
    </r>
    <r>
      <rPr>
        <sz val="12"/>
        <color rgb="FF000000"/>
        <rFont val="Arial"/>
        <family val="2"/>
      </rPr>
      <t xml:space="preserve">
 </t>
    </r>
    <r>
      <rPr>
        <i/>
        <sz val="12"/>
        <color rgb="FF000000"/>
        <rFont val="Arial"/>
        <family val="2"/>
      </rPr>
      <t xml:space="preserve">  Breakfast, AM Snack, Lunch, PM Snack, Dinner with flowing Coffee, Accommodation good for 2 days</t>
    </r>
  </si>
  <si>
    <t>Services</t>
  </si>
  <si>
    <r>
      <rPr>
        <b/>
        <sz val="12"/>
        <color rgb="FF000000"/>
        <rFont val="Arial"/>
        <family val="2"/>
      </rPr>
      <t>Postage and Courier Services</t>
    </r>
    <r>
      <rPr>
        <sz val="12"/>
        <color rgb="FF000000"/>
        <rFont val="Arial"/>
        <family val="2"/>
      </rPr>
      <t xml:space="preserve">
 </t>
    </r>
    <r>
      <rPr>
        <i/>
        <sz val="12"/>
        <color rgb="FF000000"/>
        <rFont val="Arial"/>
        <family val="2"/>
      </rPr>
      <t xml:space="preserve">  Shipping fee</t>
    </r>
  </si>
  <si>
    <t xml:space="preserve">50 lots @ P1,000/ lot </t>
  </si>
  <si>
    <t>December 2026</t>
  </si>
  <si>
    <t>June 2026</t>
  </si>
  <si>
    <t xml:space="preserve"> June 2026</t>
  </si>
  <si>
    <t>February 2026</t>
  </si>
  <si>
    <t>January - December 2026</t>
  </si>
  <si>
    <t>January 2026</t>
  </si>
  <si>
    <t>March 2026</t>
  </si>
  <si>
    <t>May 2026</t>
  </si>
  <si>
    <t>October 2026</t>
  </si>
  <si>
    <t>November 2026</t>
  </si>
  <si>
    <t>50 reams @ P280/ ream</t>
  </si>
  <si>
    <t>50 reams @ P286/ ream</t>
  </si>
  <si>
    <r>
      <rPr>
        <b/>
        <sz val="12"/>
        <color rgb="FF000000"/>
        <rFont val="Arial"/>
        <family val="2"/>
      </rPr>
      <t>Data Folder</t>
    </r>
    <r>
      <rPr>
        <sz val="12"/>
        <color rgb="FF000000"/>
        <rFont val="Arial"/>
        <family val="2"/>
      </rPr>
      <t xml:space="preserve">
 </t>
    </r>
    <r>
      <rPr>
        <i/>
        <sz val="12"/>
        <color rgb="FF000000"/>
        <rFont val="Arial"/>
        <family val="2"/>
      </rPr>
      <t xml:space="preserve">  Materials: made of 
   chipboard, 2.5mm thick, Dimension 
   (WxHxL): 75mm (3") x 230mm (9") x 380mm (15"). With all steel     lever arch file mechanism and taglia lock.</t>
    </r>
  </si>
  <si>
    <t>15 pieces @ P220/ piece</t>
  </si>
  <si>
    <r>
      <rPr>
        <b/>
        <sz val="12"/>
        <color rgb="FF000000"/>
        <rFont val="Arial"/>
        <family val="2"/>
      </rPr>
      <t>Ballpen</t>
    </r>
    <r>
      <rPr>
        <sz val="12"/>
        <color rgb="FF000000"/>
        <rFont val="Arial"/>
        <family val="2"/>
      </rPr>
      <t xml:space="preserve">
 </t>
    </r>
    <r>
      <rPr>
        <i/>
        <sz val="12"/>
        <color rgb="FF000000"/>
        <rFont val="Arial"/>
        <family val="2"/>
      </rPr>
      <t xml:space="preserve">  Color: Black, Needle Point: .07mm, 12 pcs. per box</t>
    </r>
  </si>
  <si>
    <t>20 boxes @ P96/ box</t>
  </si>
  <si>
    <r>
      <rPr>
        <b/>
        <sz val="12"/>
        <color rgb="FF000000"/>
        <rFont val="Arial"/>
        <family val="2"/>
      </rPr>
      <t>Sign Pen</t>
    </r>
    <r>
      <rPr>
        <sz val="12"/>
        <color rgb="FF000000"/>
        <rFont val="Arial"/>
        <family val="2"/>
      </rPr>
      <t xml:space="preserve">
 </t>
    </r>
    <r>
      <rPr>
        <i/>
        <sz val="12"/>
        <color rgb="FF000000"/>
        <rFont val="Arial"/>
        <family val="2"/>
      </rPr>
      <t xml:space="preserve">  Color: Black, Needle Point: .05mm</t>
    </r>
  </si>
  <si>
    <r>
      <rPr>
        <b/>
        <sz val="12"/>
        <color rgb="FF000000"/>
        <rFont val="Arial"/>
        <family val="2"/>
      </rPr>
      <t>Sign Pen</t>
    </r>
    <r>
      <rPr>
        <sz val="12"/>
        <color rgb="FF000000"/>
        <rFont val="Arial"/>
        <family val="2"/>
      </rPr>
      <t xml:space="preserve">
 </t>
    </r>
    <r>
      <rPr>
        <i/>
        <sz val="12"/>
        <color rgb="FF000000"/>
        <rFont val="Arial"/>
        <family val="2"/>
      </rPr>
      <t xml:space="preserve">  Color: Blue, Needle Point: .05mm</t>
    </r>
  </si>
  <si>
    <r>
      <rPr>
        <b/>
        <sz val="12"/>
        <color rgb="FF000000"/>
        <rFont val="Arial"/>
        <family val="2"/>
      </rPr>
      <t>Sign Pen</t>
    </r>
    <r>
      <rPr>
        <sz val="12"/>
        <color rgb="FF000000"/>
        <rFont val="Arial"/>
        <family val="2"/>
      </rPr>
      <t xml:space="preserve">
 </t>
    </r>
    <r>
      <rPr>
        <i/>
        <sz val="12"/>
        <color rgb="FF000000"/>
        <rFont val="Arial"/>
        <family val="2"/>
      </rPr>
      <t xml:space="preserve">  Color: Red, Needle Point: .05mm</t>
    </r>
  </si>
  <si>
    <t>30 pieces @ P44/ piece</t>
  </si>
  <si>
    <r>
      <rPr>
        <b/>
        <sz val="12"/>
        <color rgb="FF000000"/>
        <rFont val="Arial"/>
        <family val="2"/>
      </rPr>
      <t>Tape</t>
    </r>
    <r>
      <rPr>
        <sz val="12"/>
        <color rgb="FF000000"/>
        <rFont val="Arial"/>
        <family val="2"/>
      </rPr>
      <t xml:space="preserve">
 </t>
    </r>
    <r>
      <rPr>
        <i/>
        <sz val="12"/>
        <color rgb="FF000000"/>
        <rFont val="Arial"/>
        <family val="2"/>
      </rPr>
      <t xml:space="preserve">  transparent,  1 inch</t>
    </r>
  </si>
  <si>
    <t>100 rolls @ P40/ roll</t>
  </si>
  <si>
    <r>
      <rPr>
        <b/>
        <sz val="12"/>
        <color rgb="FF000000"/>
        <rFont val="Arial"/>
        <family val="2"/>
      </rPr>
      <t>Staple Wire</t>
    </r>
    <r>
      <rPr>
        <sz val="12"/>
        <color rgb="FF000000"/>
        <rFont val="Arial"/>
        <family val="2"/>
      </rPr>
      <t xml:space="preserve">
 </t>
    </r>
    <r>
      <rPr>
        <i/>
        <sz val="12"/>
        <color rgb="FF000000"/>
        <rFont val="Arial"/>
        <family val="2"/>
      </rPr>
      <t xml:space="preserve">  -STANDARD, (26/6) or No.35, full strips staples
   -5000 wires per box 
   -No. of wires per strip 100.</t>
    </r>
  </si>
  <si>
    <t>20 boxes @ P55/ box</t>
  </si>
  <si>
    <r>
      <rPr>
        <b/>
        <sz val="12"/>
        <color rgb="FF000000"/>
        <rFont val="Arial"/>
        <family val="2"/>
      </rPr>
      <t>Stapler</t>
    </r>
    <r>
      <rPr>
        <sz val="12"/>
        <color rgb="FF000000"/>
        <rFont val="Arial"/>
        <family val="2"/>
      </rPr>
      <t xml:space="preserve">
 </t>
    </r>
    <r>
      <rPr>
        <i/>
        <sz val="12"/>
        <color rgb="FF000000"/>
        <rFont val="Arial"/>
        <family val="2"/>
      </rPr>
      <t xml:space="preserve">  STANDARD TYPE, load cap: 200 staples min with staple remover</t>
    </r>
  </si>
  <si>
    <t>9 pieces @ P275/ piece</t>
  </si>
  <si>
    <r>
      <rPr>
        <b/>
        <sz val="12"/>
        <color rgb="FF000000"/>
        <rFont val="Arial"/>
        <family val="2"/>
      </rPr>
      <t>Correction Tape</t>
    </r>
    <r>
      <rPr>
        <sz val="12"/>
        <color rgb="FF000000"/>
        <rFont val="Arial"/>
        <family val="2"/>
      </rPr>
      <t xml:space="preserve">
 </t>
    </r>
    <r>
      <rPr>
        <i/>
        <sz val="12"/>
        <color rgb="FF000000"/>
        <rFont val="Arial"/>
        <family val="2"/>
      </rPr>
      <t xml:space="preserve">  Color: Random, Plastic, 5mm wide 8m long</t>
    </r>
  </si>
  <si>
    <t>20 pieces @ P55/ piece</t>
  </si>
  <si>
    <r>
      <rPr>
        <b/>
        <sz val="12"/>
        <color rgb="FF000000"/>
        <rFont val="Arial"/>
        <family val="2"/>
      </rPr>
      <t>Sticky Note</t>
    </r>
    <r>
      <rPr>
        <sz val="12"/>
        <color rgb="FF000000"/>
        <rFont val="Arial"/>
        <family val="2"/>
      </rPr>
      <t xml:space="preserve">
 </t>
    </r>
    <r>
      <rPr>
        <i/>
        <sz val="12"/>
        <color rgb="FF000000"/>
        <rFont val="Arial"/>
        <family val="2"/>
      </rPr>
      <t xml:space="preserve">  "sign here", Size: 45mm x 12mm</t>
    </r>
  </si>
  <si>
    <t>20 pack @ 60.50/ pack</t>
  </si>
  <si>
    <t>MWPSD ACTIVITIES:</t>
  </si>
  <si>
    <r>
      <rPr>
        <b/>
        <sz val="12"/>
        <color rgb="FF000000"/>
        <rFont val="Arial"/>
        <family val="2"/>
      </rPr>
      <t>Record Book</t>
    </r>
    <r>
      <rPr>
        <sz val="12"/>
        <color rgb="FF000000"/>
        <rFont val="Arial"/>
        <family val="2"/>
      </rPr>
      <t xml:space="preserve">
 </t>
    </r>
    <r>
      <rPr>
        <i/>
        <sz val="12"/>
        <color rgb="FF000000"/>
        <rFont val="Arial"/>
        <family val="2"/>
      </rPr>
      <t xml:space="preserve">  500 PAGES, size: 214mm x 278mm min</t>
    </r>
  </si>
  <si>
    <t>5 books @ P148.50/ book</t>
  </si>
  <si>
    <r>
      <rPr>
        <b/>
        <sz val="12"/>
        <color rgb="FF000000"/>
        <rFont val="Arial"/>
        <family val="2"/>
      </rPr>
      <t>Envelope</t>
    </r>
    <r>
      <rPr>
        <sz val="12"/>
        <color rgb="FF000000"/>
        <rFont val="Arial"/>
        <family val="2"/>
      </rPr>
      <t xml:space="preserve">
 </t>
    </r>
    <r>
      <rPr>
        <i/>
        <sz val="12"/>
        <color rgb="FF000000"/>
        <rFont val="Arial"/>
        <family val="2"/>
      </rPr>
      <t xml:space="preserve">  EXPANDING, KRAFT for legal size document, with string and eyelet or elastic strap, 100 pieces per box.</t>
    </r>
  </si>
  <si>
    <t>1 box @ P1,320/ box</t>
  </si>
  <si>
    <r>
      <rPr>
        <b/>
        <sz val="12"/>
        <color rgb="FF000000"/>
        <rFont val="Arial"/>
        <family val="2"/>
      </rPr>
      <t>Clip</t>
    </r>
    <r>
      <rPr>
        <sz val="12"/>
        <color rgb="FF000000"/>
        <rFont val="Arial"/>
        <family val="2"/>
      </rPr>
      <t xml:space="preserve">
 </t>
    </r>
    <r>
      <rPr>
        <i/>
        <sz val="12"/>
        <color rgb="FF000000"/>
        <rFont val="Arial"/>
        <family val="2"/>
      </rPr>
      <t xml:space="preserve">  backfold, 25mm</t>
    </r>
  </si>
  <si>
    <r>
      <rPr>
        <b/>
        <sz val="12"/>
        <color rgb="FF000000"/>
        <rFont val="Arial"/>
        <family val="2"/>
      </rPr>
      <t>Paper Clip</t>
    </r>
    <r>
      <rPr>
        <sz val="12"/>
        <color rgb="FF000000"/>
        <rFont val="Arial"/>
        <family val="2"/>
      </rPr>
      <t xml:space="preserve">
 </t>
    </r>
    <r>
      <rPr>
        <i/>
        <sz val="12"/>
        <color rgb="FF000000"/>
        <rFont val="Arial"/>
        <family val="2"/>
      </rPr>
      <t xml:space="preserve">  vinyl/ plastic coated, 33mm, 100 's per box</t>
    </r>
  </si>
  <si>
    <t>5 box @ P49.50/ box</t>
  </si>
  <si>
    <t>6 box @ P16.50/ box</t>
  </si>
  <si>
    <t>2 box @ P113/ box</t>
  </si>
  <si>
    <t>20 bottles @ P687.50/ bottle</t>
  </si>
  <si>
    <r>
      <rPr>
        <b/>
        <sz val="12"/>
        <color rgb="FF000000"/>
        <rFont val="Arial"/>
        <family val="2"/>
      </rPr>
      <t>Pencil</t>
    </r>
    <r>
      <rPr>
        <sz val="12"/>
        <color rgb="FF000000"/>
        <rFont val="Arial"/>
        <family val="2"/>
      </rPr>
      <t xml:space="preserve">
 </t>
    </r>
    <r>
      <rPr>
        <i/>
        <sz val="12"/>
        <color rgb="FF000000"/>
        <rFont val="Arial"/>
        <family val="2"/>
      </rPr>
      <t xml:space="preserve"> Lead Hardness/Grade: No. 2 (Medium, equivalent to 2B)
  Diameter: 7mm
  Length: 188mm
 Color: Glossy yellow
 Features: Break-resistant core, non-smudge eraser
 Material: Wood
 No. of Pieces per box: 12 pieces</t>
    </r>
  </si>
  <si>
    <r>
      <rPr>
        <b/>
        <sz val="12"/>
        <color rgb="FF000000"/>
        <rFont val="Arial"/>
        <family val="2"/>
      </rPr>
      <t>Paper Shredder</t>
    </r>
    <r>
      <rPr>
        <sz val="12"/>
        <color rgb="FF000000"/>
        <rFont val="Arial"/>
        <family val="2"/>
      </rPr>
      <t xml:space="preserve">
 </t>
    </r>
    <r>
      <rPr>
        <i/>
        <sz val="12"/>
        <color rgb="FF000000"/>
        <rFont val="Arial"/>
        <family val="2"/>
      </rPr>
      <t xml:space="preserve"> PAPER/CARD/CD SHREDDER
 Tempered Carbon Steel blades
 Automatic shut off when bin is pulled or opened
 Elegant design for office and home use
 Quiet Motor and Operation
 A4 220mm
 Up to 5 sheets feeder
 20L bin Capacity</t>
    </r>
  </si>
  <si>
    <t>1 unit @ P16,000/ unit</t>
  </si>
  <si>
    <r>
      <rPr>
        <b/>
        <sz val="12"/>
        <color rgb="FF000000"/>
        <rFont val="Arial"/>
        <family val="2"/>
      </rPr>
      <t>Puncher</t>
    </r>
    <r>
      <rPr>
        <sz val="12"/>
        <color rgb="FF000000"/>
        <rFont val="Arial"/>
        <family val="2"/>
      </rPr>
      <t xml:space="preserve">
 </t>
    </r>
    <r>
      <rPr>
        <i/>
        <sz val="12"/>
        <color rgb="FF000000"/>
        <rFont val="Arial"/>
        <family val="2"/>
      </rPr>
      <t>Paper, heavy duty, with two hole guide, 1</t>
    </r>
  </si>
  <si>
    <t>2 piece @ P220/ piece</t>
  </si>
  <si>
    <r>
      <rPr>
        <b/>
        <sz val="12"/>
        <color rgb="FF000000"/>
        <rFont val="Arial"/>
        <family val="2"/>
      </rPr>
      <t xml:space="preserve">Binding and Punching Machine </t>
    </r>
    <r>
      <rPr>
        <sz val="12"/>
        <color rgb="FF000000"/>
        <rFont val="Arial"/>
        <family val="2"/>
      </rPr>
      <t xml:space="preserve">
</t>
    </r>
    <r>
      <rPr>
        <i/>
        <sz val="12"/>
        <color rgb="FF000000"/>
        <rFont val="Arial"/>
        <family val="2"/>
      </rPr>
      <t xml:space="preserve">  Equipped with two (2) hand lever system for punching and binding
  330mm punching width and adjustable to any format, diameter, gauge    and comb binder control
  Individual adjustable punching dies with variable margin depth
  Manual binding capacity: 50mm or 425 sheets of paper (70gsm) (max.)</t>
    </r>
  </si>
  <si>
    <t>1 unit @ P15,400/ unit</t>
  </si>
  <si>
    <r>
      <rPr>
        <b/>
        <sz val="12"/>
        <color rgb="FF000000"/>
        <rFont val="Arial"/>
        <family val="2"/>
      </rPr>
      <t>Electric Fan</t>
    </r>
    <r>
      <rPr>
        <sz val="12"/>
        <color rgb="FF000000"/>
        <rFont val="Arial"/>
        <family val="2"/>
      </rPr>
      <t xml:space="preserve">
</t>
    </r>
    <r>
      <rPr>
        <i/>
        <sz val="12"/>
        <color rgb="FF000000"/>
        <rFont val="Arial"/>
        <family val="2"/>
      </rPr>
      <t xml:space="preserve">  Stand Fan
 18" Metal Blade
 High-performance motor
 With thermal fuse protection
 3-speed rotary switch
 Tilting head with oscillation
 With height adjustment
 4 legs for improved stability</t>
    </r>
  </si>
  <si>
    <t>2 unit @ P9,080/ unit</t>
  </si>
  <si>
    <t>1 unit @ P25,000/ unit</t>
  </si>
  <si>
    <t>2 unit @ P12,500/ unit</t>
  </si>
  <si>
    <r>
      <rPr>
        <b/>
        <sz val="12"/>
        <color rgb="FF000000"/>
        <rFont val="Arial"/>
        <family val="2"/>
      </rPr>
      <t>Tablet</t>
    </r>
    <r>
      <rPr>
        <sz val="12"/>
        <color rgb="FF000000"/>
        <rFont val="Arial"/>
        <family val="2"/>
      </rPr>
      <t xml:space="preserve">
</t>
    </r>
    <r>
      <rPr>
        <i/>
        <sz val="12"/>
        <color rgb="FF000000"/>
        <rFont val="Arial"/>
        <family val="2"/>
      </rPr>
      <t xml:space="preserve">   Operating System: at least Android 13 or Android 14 Display: 29.2cm (11.5”)   120Hz 2k Display Type: IPS LCD, 1B color, 120Hz, 450 nits (peak) Resolution: Minimum of 1200 x 2000 pixels, 5:30 ratio Color: 1 billion colors Sunlight Mode Brightness: 450nits (peak brightness) PROCESSOR CPU: at least Octa-core (2x2.2 GHz Cortex-A76 &amp; 6x2.0 GHz Cortex-A55 GPU: Mali-G57 MC2 MEMORY RAM: 6GB-8GB ROM: 128GB-256GB External Memory: Up to 1TB memory expansion CAMERA: 8MP AI Camera Lens: 4P Photography function: Photo, AI Beauty, Filter, Panoramic View, HDR, Text Scanner Video Recording: 720p@30fps, 1080p@30fps CONNECTIVITY WLAN: 2.4/5GHz IEEE: 802.11 a/b/g/n/ac (Wi-Fi 4, Wi-Fi 5) Bluetooth: 5.2 SIM: Nano-SIM POWER AND BATTERY Type: 8360 mAh mega battery, built-in Charging: 33W Charge Supports reverse charging USB: USB Type-C</t>
    </r>
  </si>
  <si>
    <r>
      <rPr>
        <b/>
        <sz val="12"/>
        <color rgb="FF000000"/>
        <rFont val="Arial"/>
        <family val="2"/>
      </rPr>
      <t>Cabinet/ Pedestal</t>
    </r>
    <r>
      <rPr>
        <sz val="12"/>
        <color rgb="FF000000"/>
        <rFont val="Arial"/>
        <family val="2"/>
      </rPr>
      <t xml:space="preserve">
</t>
    </r>
    <r>
      <rPr>
        <i/>
        <sz val="12"/>
        <color rgb="FF000000"/>
        <rFont val="Arial"/>
        <family val="2"/>
      </rPr>
      <t xml:space="preserve">   Type: Steel, 
   Size: Width: 39 cm, Depth: 52 cm, Height: 60 cm, 
   Materials: Made of 0.6 mm thick cold-rolled steel sheet in powder coated    finish with 16inches metal drawer slide.
  38 mm dia. nylon wheel castor, 
  Color: Grey, 
  Weight Capacity: 20 kgs/drawer</t>
    </r>
  </si>
  <si>
    <r>
      <rPr>
        <b/>
        <sz val="12"/>
        <color rgb="FF000000"/>
        <rFont val="Arial"/>
        <family val="2"/>
      </rPr>
      <t>External Hard Drive</t>
    </r>
    <r>
      <rPr>
        <sz val="12"/>
        <color rgb="FF000000"/>
        <rFont val="Arial"/>
        <family val="2"/>
      </rPr>
      <t xml:space="preserve">
 </t>
    </r>
    <r>
      <rPr>
        <i/>
        <sz val="12"/>
        <color rgb="FF000000"/>
        <rFont val="Arial"/>
        <family val="2"/>
      </rPr>
      <t xml:space="preserve">  Capacity: 1TB
</t>
    </r>
    <r>
      <rPr>
        <sz val="12"/>
        <color rgb="FF000000"/>
        <rFont val="Arial"/>
        <family val="2"/>
      </rPr>
      <t xml:space="preserve">   USB: 3.0.</t>
    </r>
  </si>
  <si>
    <r>
      <rPr>
        <b/>
        <sz val="12"/>
        <color rgb="FF000000"/>
        <rFont val="Arial"/>
        <family val="2"/>
      </rPr>
      <t>Alcohol</t>
    </r>
    <r>
      <rPr>
        <sz val="12"/>
        <color rgb="FF000000"/>
        <rFont val="Arial"/>
        <family val="2"/>
      </rPr>
      <t xml:space="preserve">
</t>
    </r>
    <r>
      <rPr>
        <i/>
        <sz val="12"/>
        <color rgb="FF000000"/>
        <rFont val="Arial"/>
        <family val="2"/>
      </rPr>
      <t xml:space="preserve">   Ethyl, 500ml</t>
    </r>
  </si>
  <si>
    <r>
      <rPr>
        <b/>
        <sz val="12"/>
        <color rgb="FF000000"/>
        <rFont val="Arial"/>
        <family val="2"/>
      </rPr>
      <t>Air Freshener</t>
    </r>
    <r>
      <rPr>
        <sz val="12"/>
        <color rgb="FF000000"/>
        <rFont val="Arial"/>
        <family val="2"/>
      </rPr>
      <t xml:space="preserve">
</t>
    </r>
    <r>
      <rPr>
        <i/>
        <sz val="12"/>
        <color rgb="FF000000"/>
        <rFont val="Arial"/>
        <family val="2"/>
      </rPr>
      <t xml:space="preserve">   280 ml, Fragrance: Exotic Tropical Blossom</t>
    </r>
  </si>
  <si>
    <r>
      <rPr>
        <b/>
        <sz val="12"/>
        <color rgb="FF000000"/>
        <rFont val="Arial"/>
        <family val="2"/>
      </rPr>
      <t>Battery</t>
    </r>
    <r>
      <rPr>
        <sz val="12"/>
        <color rgb="FF000000"/>
        <rFont val="Arial"/>
        <family val="2"/>
      </rPr>
      <t xml:space="preserve">
</t>
    </r>
    <r>
      <rPr>
        <i/>
        <sz val="12"/>
        <color rgb="FF000000"/>
        <rFont val="Arial"/>
        <family val="2"/>
      </rPr>
      <t xml:space="preserve">   Dry cell, AAA, 1.5 volts, alkaline, 2 piece per pack</t>
    </r>
  </si>
  <si>
    <r>
      <rPr>
        <b/>
        <sz val="12"/>
        <color rgb="FF000000"/>
        <rFont val="Arial"/>
        <family val="2"/>
      </rPr>
      <t>Battery</t>
    </r>
    <r>
      <rPr>
        <sz val="12"/>
        <color rgb="FF000000"/>
        <rFont val="Arial"/>
        <family val="2"/>
      </rPr>
      <t xml:space="preserve">
</t>
    </r>
    <r>
      <rPr>
        <i/>
        <sz val="12"/>
        <color rgb="FF000000"/>
        <rFont val="Arial"/>
        <family val="2"/>
      </rPr>
      <t xml:space="preserve">   Dry cell, AA, 1.5 volts, alkaline, 2 piece per pack</t>
    </r>
  </si>
  <si>
    <r>
      <rPr>
        <b/>
        <sz val="12"/>
        <color rgb="FF000000"/>
        <rFont val="Arial"/>
        <family val="2"/>
      </rPr>
      <t>Tissue</t>
    </r>
    <r>
      <rPr>
        <sz val="12"/>
        <color rgb="FF000000"/>
        <rFont val="Arial"/>
        <family val="2"/>
      </rPr>
      <t xml:space="preserve">
</t>
    </r>
    <r>
      <rPr>
        <i/>
        <sz val="12"/>
        <color rgb="FF000000"/>
        <rFont val="Arial"/>
        <family val="2"/>
      </rPr>
      <t xml:space="preserve">   Facial Tissue, 2-ply, 250 pulls, 500 sheets, large box, soft, and highly absorbent</t>
    </r>
  </si>
  <si>
    <t>5 packs @ P150/ pack</t>
  </si>
  <si>
    <t>5 packs @ P250/ pack</t>
  </si>
  <si>
    <r>
      <rPr>
        <b/>
        <sz val="12"/>
        <color rgb="FF000000"/>
        <rFont val="Arial"/>
        <family val="2"/>
      </rPr>
      <t>Tissue</t>
    </r>
    <r>
      <rPr>
        <sz val="12"/>
        <color rgb="FF000000"/>
        <rFont val="Arial"/>
        <family val="2"/>
      </rPr>
      <t xml:space="preserve">
</t>
    </r>
    <r>
      <rPr>
        <i/>
        <sz val="12"/>
        <color rgb="FF000000"/>
        <rFont val="Arial"/>
        <family val="2"/>
      </rPr>
      <t xml:space="preserve">   Toilet Tissue Paper, 2 ply</t>
    </r>
  </si>
  <si>
    <t>100 rolls @ P70/ roll</t>
  </si>
  <si>
    <r>
      <rPr>
        <b/>
        <sz val="12"/>
        <color rgb="FF000000"/>
        <rFont val="Arial"/>
        <family val="2"/>
      </rPr>
      <t>Cup</t>
    </r>
    <r>
      <rPr>
        <sz val="12"/>
        <color rgb="FF000000"/>
        <rFont val="Arial"/>
        <family val="2"/>
      </rPr>
      <t xml:space="preserve">
</t>
    </r>
    <r>
      <rPr>
        <i/>
        <sz val="12"/>
        <color rgb="FF000000"/>
        <rFont val="Arial"/>
        <family val="2"/>
      </rPr>
      <t xml:space="preserve">   5 oz, disposable, plastic, transparent, 50's per pack</t>
    </r>
  </si>
  <si>
    <r>
      <rPr>
        <b/>
        <sz val="12"/>
        <color rgb="FF000000"/>
        <rFont val="Arial"/>
        <family val="2"/>
      </rPr>
      <t>Cup</t>
    </r>
    <r>
      <rPr>
        <sz val="12"/>
        <color rgb="FF000000"/>
        <rFont val="Arial"/>
        <family val="2"/>
      </rPr>
      <t xml:space="preserve">
</t>
    </r>
    <r>
      <rPr>
        <i/>
        <sz val="12"/>
        <color rgb="FF000000"/>
        <rFont val="Arial"/>
        <family val="2"/>
      </rPr>
      <t xml:space="preserve">   5 oz, disposable, paper, plain, 50's per pack</t>
    </r>
  </si>
  <si>
    <t>100 packs @ P150/ pack</t>
  </si>
  <si>
    <t>50 packs @ P200/ pack</t>
  </si>
  <si>
    <r>
      <rPr>
        <b/>
        <sz val="12"/>
        <color rgb="FF000000"/>
        <rFont val="Arial"/>
        <family val="2"/>
      </rPr>
      <t>Kitchenware</t>
    </r>
    <r>
      <rPr>
        <sz val="12"/>
        <color rgb="FF000000"/>
        <rFont val="Arial"/>
        <family val="2"/>
      </rPr>
      <t xml:space="preserve">
</t>
    </r>
    <r>
      <rPr>
        <i/>
        <sz val="12"/>
        <color rgb="FF000000"/>
        <rFont val="Arial"/>
        <family val="2"/>
      </rPr>
      <t xml:space="preserve">   Cups and saucers with spoon, for coffee
   Cup: 6 pieces.
   Saucer with spoon: 6 pieces.</t>
    </r>
  </si>
  <si>
    <r>
      <rPr>
        <b/>
        <sz val="12"/>
        <color rgb="FF000000"/>
        <rFont val="Arial"/>
        <family val="2"/>
      </rPr>
      <t>X Banner Stand</t>
    </r>
    <r>
      <rPr>
        <sz val="12"/>
        <color rgb="FF000000"/>
        <rFont val="Arial"/>
        <family val="2"/>
      </rPr>
      <t xml:space="preserve">
</t>
    </r>
    <r>
      <rPr>
        <i/>
        <sz val="12"/>
        <color rgb="FF000000"/>
        <rFont val="Arial"/>
        <family val="2"/>
      </rPr>
      <t xml:space="preserve">   For tarpaulin ,highly adjustable and easy to set up ,fiber glass rods and  aluminum tripod base , size: 2x5ft , banners can be hooked onto the stand. includes convenient portable travel bag.</t>
    </r>
  </si>
  <si>
    <t>5 pieces @ P1,800/ piece</t>
  </si>
  <si>
    <t>50 boxes @ P170/ box</t>
  </si>
  <si>
    <r>
      <rPr>
        <b/>
        <sz val="12"/>
        <color rgb="FF000000"/>
        <rFont val="Arial"/>
        <family val="2"/>
      </rPr>
      <t>Digital Clock</t>
    </r>
    <r>
      <rPr>
        <sz val="12"/>
        <color rgb="FF000000"/>
        <rFont val="Arial"/>
        <family val="2"/>
      </rPr>
      <t xml:space="preserve">
</t>
    </r>
    <r>
      <rPr>
        <i/>
        <sz val="12"/>
        <color rgb="FF000000"/>
        <rFont val="Arial"/>
        <family val="2"/>
      </rPr>
      <t xml:space="preserve">  Chess Clock Digital Clock Dimension: 13.5 cm x 9.5cm x 4.5 cm Weight: 135g Presentable count up/ countdown timer Maximum 10 hours with alarm</t>
    </r>
  </si>
  <si>
    <t>1 piece @ P2,500.00</t>
  </si>
  <si>
    <t>12 bottles @ P300/ bottle</t>
  </si>
  <si>
    <t>100 bottles @ P150/ bottle</t>
  </si>
  <si>
    <t>2 sets @ P3,000/ set</t>
  </si>
  <si>
    <r>
      <rPr>
        <b/>
        <sz val="12"/>
        <color rgb="FF000000"/>
        <rFont val="Arial"/>
        <family val="2"/>
      </rPr>
      <t>Token</t>
    </r>
    <r>
      <rPr>
        <sz val="12"/>
        <color rgb="FF000000"/>
        <rFont val="Arial"/>
        <family val="2"/>
      </rPr>
      <t xml:space="preserve">
</t>
    </r>
    <r>
      <rPr>
        <i/>
        <sz val="12"/>
        <color rgb="FF000000"/>
        <rFont val="Arial"/>
        <family val="2"/>
      </rPr>
      <t xml:space="preserve">   Customized/personalized.....
see attached design..</t>
    </r>
  </si>
  <si>
    <t>100 set @ P2,000/ set</t>
  </si>
  <si>
    <r>
      <rPr>
        <b/>
        <sz val="12"/>
        <color rgb="FF000000"/>
        <rFont val="Arial"/>
        <family val="2"/>
      </rPr>
      <t>Gift Bag</t>
    </r>
    <r>
      <rPr>
        <sz val="12"/>
        <color rgb="FF000000"/>
        <rFont val="Arial"/>
        <family val="2"/>
      </rPr>
      <t xml:space="preserve">
</t>
    </r>
    <r>
      <rPr>
        <i/>
        <sz val="12"/>
        <color rgb="FF000000"/>
        <rFont val="Arial"/>
        <family val="2"/>
      </rPr>
      <t xml:space="preserve">   Kraft bag.
  With design for the token.</t>
    </r>
  </si>
  <si>
    <t>10 pieces @ P150/ piece</t>
  </si>
  <si>
    <r>
      <rPr>
        <b/>
        <sz val="12"/>
        <color rgb="FF000000"/>
        <rFont val="Arial"/>
        <family val="2"/>
      </rPr>
      <t>Certificate Holder</t>
    </r>
    <r>
      <rPr>
        <sz val="12"/>
        <color rgb="FF000000"/>
        <rFont val="Arial"/>
        <family val="2"/>
      </rPr>
      <t xml:space="preserve">
</t>
    </r>
    <r>
      <rPr>
        <i/>
        <sz val="12"/>
        <color rgb="FF000000"/>
        <rFont val="Arial"/>
        <family val="2"/>
      </rPr>
      <t xml:space="preserve">   Holder/jacket.
   Material: plastic (transparent).
   Size: A4 size.</t>
    </r>
  </si>
  <si>
    <t>100 packs @ P170/ piece</t>
  </si>
  <si>
    <r>
      <rPr>
        <b/>
        <sz val="12"/>
        <color rgb="FF000000"/>
        <rFont val="Arial"/>
        <family val="2"/>
      </rPr>
      <t>Extension Wire</t>
    </r>
    <r>
      <rPr>
        <sz val="12"/>
        <color rgb="FF000000"/>
        <rFont val="Arial"/>
        <family val="2"/>
      </rPr>
      <t xml:space="preserve">
</t>
    </r>
    <r>
      <rPr>
        <i/>
        <sz val="12"/>
        <color rgb="FF000000"/>
        <rFont val="Arial"/>
        <family val="2"/>
      </rPr>
      <t xml:space="preserve">  4 gang universal Outlet, AC 110-250 volts, 10A-16A, 2500W-3,000W,5 meters length</t>
    </r>
  </si>
  <si>
    <t>January 2027</t>
  </si>
  <si>
    <t>February 2027</t>
  </si>
  <si>
    <t>March 2027</t>
  </si>
  <si>
    <r>
      <rPr>
        <b/>
        <sz val="12"/>
        <color rgb="FF000000"/>
        <rFont val="Arial"/>
        <family val="2"/>
      </rPr>
      <t>Stamp</t>
    </r>
    <r>
      <rPr>
        <sz val="12"/>
        <color rgb="FF000000"/>
        <rFont val="Arial"/>
        <family val="2"/>
      </rPr>
      <t xml:space="preserve">
</t>
    </r>
    <r>
      <rPr>
        <i/>
        <sz val="12"/>
        <color rgb="FF000000"/>
        <rFont val="Arial"/>
        <family val="2"/>
      </rPr>
      <t xml:space="preserve">   STAMP	
   Material type: plastic.
   Plate size: 1.5" x 0.5" with border, size must be maintained with border.
   RECEIVED (please see attached design).</t>
    </r>
  </si>
  <si>
    <t>10 pieces @ P700/ piece</t>
  </si>
  <si>
    <t>3 piece @ P1,500.00</t>
  </si>
  <si>
    <r>
      <rPr>
        <b/>
        <sz val="12"/>
        <color rgb="FF000000"/>
        <rFont val="Arial"/>
        <family val="2"/>
      </rPr>
      <t>Stamp</t>
    </r>
    <r>
      <rPr>
        <sz val="12"/>
        <color rgb="FF000000"/>
        <rFont val="Arial"/>
        <family val="2"/>
      </rPr>
      <t xml:space="preserve">
</t>
    </r>
    <r>
      <rPr>
        <i/>
        <sz val="12"/>
        <color rgb="FF000000"/>
        <rFont val="Arial"/>
        <family val="2"/>
      </rPr>
      <t xml:space="preserve">   STAMP	
   Material type: plastic.
   Plate size: 1.5" x 0.5" with border, size must be maintained with border.
   VERIFIED (please see attached design).</t>
    </r>
  </si>
  <si>
    <t>2 pieces @ P700/ piece</t>
  </si>
  <si>
    <r>
      <t xml:space="preserve"> </t>
    </r>
    <r>
      <rPr>
        <b/>
        <sz val="12"/>
        <color rgb="FF000000"/>
        <rFont val="Arial"/>
        <family val="2"/>
      </rPr>
      <t>Executive Office Table</t>
    </r>
    <r>
      <rPr>
        <i/>
        <sz val="12"/>
        <color rgb="FF000000"/>
        <rFont val="Arial"/>
        <family val="2"/>
      </rPr>
      <t xml:space="preserve">
   Measurements: Width: 18 cm, Depth: 160 cm, Height: 75 cm. 
   Materials: Panels- Melamine Face Chipboard), Legs &amp; Handle: Metal. 
   Color Panel: Walnut + Gray, Frame &amp; Legs: Black Metal. 
   Weight Capacity: 100 kgs. </t>
    </r>
  </si>
  <si>
    <t>REGIENALD S. ESPALDON, CPA</t>
  </si>
  <si>
    <t xml:space="preserve">       OIC-Assistant Regional Director and OIC-Chief LEO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</si>
</sst>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2">
    <font>
      <sz val="10"/>
      <color rgb="FF000000"/>
      <name val="Arial"/>
    </font>
    <font>
      <sz val="10"/>
      <color theme="1"/>
      <name val="Arial"/>
      <family val="2"/>
    </font>
    <font>
      <sz val="11"/>
      <color theme="1"/>
      <name val="Arial"/>
      <family val="2"/>
      <scheme val="minor"/>
    </font>
    <font>
      <sz val="11"/>
      <color theme="1"/>
      <name val="Arial"/>
      <family val="2"/>
      <scheme val="minor"/>
    </font>
    <font>
      <sz val="11"/>
      <color theme="1"/>
      <name val="Arial"/>
      <family val="2"/>
      <scheme val="minor"/>
    </font>
    <font>
      <sz val="11"/>
      <color rgb="FF000000"/>
      <name val="Arial"/>
      <family val="2"/>
    </font>
    <font>
      <b/>
      <sz val="16"/>
      <color rgb="FF000000"/>
      <name val="Arial"/>
      <family val="2"/>
    </font>
    <font>
      <sz val="10"/>
      <name val="Arial"/>
      <family val="2"/>
    </font>
    <font>
      <sz val="11"/>
      <color theme="1"/>
      <name val="Arial"/>
      <family val="2"/>
    </font>
    <font>
      <i/>
      <sz val="10"/>
      <color rgb="FF000000"/>
      <name val="Arial"/>
      <family val="2"/>
    </font>
    <font>
      <sz val="10"/>
      <name val="Arial"/>
      <family val="2"/>
    </font>
    <font>
      <sz val="10"/>
      <color rgb="FF000000"/>
      <name val="Arial"/>
      <family val="2"/>
    </font>
    <font>
      <sz val="11"/>
      <name val="Calibri"/>
      <family val="2"/>
    </font>
    <font>
      <sz val="11"/>
      <name val="Arial"/>
      <family val="2"/>
    </font>
    <font>
      <b/>
      <sz val="16"/>
      <name val="Arial"/>
      <family val="2"/>
    </font>
    <font>
      <b/>
      <sz val="16"/>
      <name val="Arial1"/>
    </font>
    <font>
      <b/>
      <sz val="10"/>
      <name val="Arial"/>
      <family val="2"/>
      <scheme val="minor"/>
    </font>
    <font>
      <b/>
      <sz val="16"/>
      <color theme="1"/>
      <name val="Arial"/>
      <family val="2"/>
    </font>
    <font>
      <b/>
      <sz val="22"/>
      <name val="Arial"/>
      <family val="2"/>
    </font>
    <font>
      <sz val="8"/>
      <name val="Arial"/>
      <family val="2"/>
    </font>
    <font>
      <b/>
      <sz val="14"/>
      <color rgb="FF000000"/>
      <name val="Arial"/>
      <family val="2"/>
    </font>
    <font>
      <b/>
      <strike/>
      <sz val="11"/>
      <name val="Arial"/>
      <family val="2"/>
    </font>
    <font>
      <b/>
      <sz val="18"/>
      <name val="Arial"/>
      <family val="1"/>
      <charset val="2"/>
    </font>
    <font>
      <sz val="16"/>
      <name val="Arial"/>
      <family val="2"/>
    </font>
    <font>
      <sz val="20"/>
      <name val="Arial"/>
      <family val="2"/>
    </font>
    <font>
      <b/>
      <sz val="20"/>
      <color rgb="FF000000"/>
      <name val="Symbol"/>
      <family val="1"/>
      <charset val="2"/>
    </font>
    <font>
      <b/>
      <sz val="20"/>
      <color rgb="FF000000"/>
      <name val="Arial"/>
      <family val="2"/>
      <scheme val="major"/>
    </font>
    <font>
      <i/>
      <sz val="11"/>
      <color rgb="FF000000"/>
      <name val="Arial"/>
      <family val="2"/>
    </font>
    <font>
      <sz val="11"/>
      <name val="Arial"/>
      <family val="2"/>
      <scheme val="major"/>
    </font>
    <font>
      <sz val="11"/>
      <color rgb="FF000000"/>
      <name val="Arial"/>
      <family val="2"/>
      <scheme val="major"/>
    </font>
    <font>
      <b/>
      <sz val="12"/>
      <color rgb="FF000000"/>
      <name val="Arial"/>
      <family val="2"/>
      <scheme val="major"/>
    </font>
    <font>
      <i/>
      <sz val="11"/>
      <color rgb="FF000000"/>
      <name val="Arial"/>
      <family val="2"/>
      <scheme val="major"/>
    </font>
    <font>
      <i/>
      <sz val="11"/>
      <name val="Arial"/>
      <family val="2"/>
      <scheme val="major"/>
    </font>
    <font>
      <sz val="11"/>
      <color rgb="FF000000"/>
      <name val="Arial"/>
      <family val="2"/>
      <scheme val="minor"/>
    </font>
    <font>
      <i/>
      <sz val="10"/>
      <color rgb="FF000000"/>
      <name val="Arial"/>
      <family val="2"/>
      <scheme val="major"/>
    </font>
    <font>
      <i/>
      <sz val="10"/>
      <color rgb="FFFF0000"/>
      <name val="Arial"/>
      <family val="2"/>
      <scheme val="major"/>
    </font>
    <font>
      <b/>
      <sz val="11"/>
      <color rgb="FF000000"/>
      <name val="Arial"/>
      <family val="2"/>
      <scheme val="minor"/>
    </font>
    <font>
      <sz val="15"/>
      <name val="Arial"/>
      <family val="2"/>
    </font>
    <font>
      <sz val="15"/>
      <color theme="1"/>
      <name val="Arial"/>
      <family val="2"/>
    </font>
    <font>
      <sz val="15"/>
      <color rgb="FF000000"/>
      <name val="Arial"/>
      <family val="2"/>
    </font>
    <font>
      <sz val="15"/>
      <color rgb="FFFF0000"/>
      <name val="Arial"/>
      <family val="2"/>
    </font>
    <font>
      <sz val="16"/>
      <color rgb="FF000000"/>
      <name val="Arial"/>
      <family val="2"/>
    </font>
    <font>
      <sz val="16"/>
      <color theme="1"/>
      <name val="Arial"/>
      <family val="2"/>
    </font>
    <font>
      <sz val="16"/>
      <name val="Calibri"/>
      <family val="2"/>
    </font>
    <font>
      <i/>
      <sz val="16"/>
      <color rgb="FF000000"/>
      <name val="Arial"/>
      <family val="2"/>
    </font>
    <font>
      <i/>
      <sz val="16"/>
      <name val="Arial"/>
      <family val="2"/>
    </font>
    <font>
      <i/>
      <sz val="16"/>
      <color rgb="FFFF0000"/>
      <name val="Arial"/>
      <family val="2"/>
    </font>
    <font>
      <b/>
      <sz val="18"/>
      <color rgb="FF000000"/>
      <name val="Arial"/>
      <family val="2"/>
    </font>
    <font>
      <b/>
      <sz val="20"/>
      <name val="Arial"/>
      <family val="2"/>
    </font>
    <font>
      <b/>
      <u/>
      <sz val="22"/>
      <name val="Arial"/>
      <family val="2"/>
    </font>
    <font>
      <b/>
      <u/>
      <sz val="16"/>
      <name val="Arial"/>
      <family val="2"/>
      <scheme val="major"/>
    </font>
    <font>
      <b/>
      <u/>
      <sz val="16"/>
      <color rgb="FF000000"/>
      <name val="Arial"/>
      <family val="2"/>
    </font>
    <font>
      <i/>
      <sz val="12"/>
      <color rgb="FF000000"/>
      <name val="Arial"/>
      <family val="2"/>
    </font>
    <font>
      <sz val="12"/>
      <color rgb="FF000000"/>
      <name val="Arial"/>
      <family val="2"/>
    </font>
    <font>
      <i/>
      <sz val="12"/>
      <name val="Arial"/>
      <family val="2"/>
    </font>
    <font>
      <b/>
      <sz val="12"/>
      <color rgb="FF000000"/>
      <name val="Arial"/>
      <family val="2"/>
    </font>
    <font>
      <b/>
      <i/>
      <sz val="12"/>
      <color rgb="FF000000"/>
      <name val="Arial"/>
      <family val="2"/>
    </font>
    <font>
      <b/>
      <sz val="15"/>
      <name val="Arial"/>
      <family val="2"/>
    </font>
    <font>
      <b/>
      <sz val="15"/>
      <color rgb="FF000000"/>
      <name val="Arial"/>
      <family val="2"/>
    </font>
    <font>
      <b/>
      <sz val="15"/>
      <color rgb="FFFF0000"/>
      <name val="Arial"/>
      <family val="2"/>
    </font>
    <font>
      <b/>
      <sz val="15"/>
      <color theme="1"/>
      <name val="Arial"/>
      <family val="2"/>
    </font>
    <font>
      <b/>
      <sz val="12"/>
      <color theme="4" tint="-0.499984740745262"/>
      <name val="Arial"/>
      <family val="2"/>
    </font>
  </fonts>
  <fills count="7">
    <fill>
      <patternFill patternType="none"/>
    </fill>
    <fill>
      <patternFill patternType="gray125"/>
    </fill>
    <fill>
      <patternFill patternType="solid">
        <fgColor rgb="FFFFFFFF"/>
        <bgColor rgb="FFFFFFFF"/>
      </patternFill>
    </fill>
    <fill>
      <patternFill patternType="solid">
        <fgColor rgb="FFFFFF00"/>
        <bgColor indexed="64"/>
      </patternFill>
    </fill>
    <fill>
      <patternFill patternType="solid">
        <fgColor theme="2" tint="-4.9989318521683403E-2"/>
        <bgColor indexed="64"/>
      </patternFill>
    </fill>
    <fill>
      <patternFill patternType="solid">
        <fgColor theme="0"/>
        <bgColor indexed="64"/>
      </patternFill>
    </fill>
    <fill>
      <patternFill patternType="solid">
        <fgColor rgb="FF92D050"/>
        <bgColor indexed="64"/>
      </patternFill>
    </fill>
  </fills>
  <borders count="10">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diagonal/>
    </border>
  </borders>
  <cellStyleXfs count="6">
    <xf numFmtId="0" fontId="0" fillId="0" borderId="0"/>
    <xf numFmtId="0" fontId="4" fillId="0" borderId="1"/>
    <xf numFmtId="0" fontId="10" fillId="0" borderId="1"/>
    <xf numFmtId="0" fontId="3" fillId="0" borderId="1"/>
    <xf numFmtId="0" fontId="11" fillId="0" borderId="1"/>
    <xf numFmtId="0" fontId="2" fillId="0" borderId="1"/>
  </cellStyleXfs>
  <cellXfs count="144">
    <xf numFmtId="0" fontId="0" fillId="0" borderId="0" xfId="0"/>
    <xf numFmtId="0" fontId="4" fillId="0" borderId="1" xfId="1"/>
    <xf numFmtId="0" fontId="7" fillId="0" borderId="1" xfId="4" applyFont="1"/>
    <xf numFmtId="0" fontId="11" fillId="0" borderId="1" xfId="4"/>
    <xf numFmtId="0" fontId="12" fillId="0" borderId="1" xfId="4" applyFont="1" applyAlignment="1">
      <alignment vertical="center" wrapText="1"/>
    </xf>
    <xf numFmtId="0" fontId="7" fillId="0" borderId="1" xfId="4" applyFont="1" applyAlignment="1">
      <alignment vertical="center" wrapText="1"/>
    </xf>
    <xf numFmtId="0" fontId="11" fillId="0" borderId="1" xfId="4" applyAlignment="1">
      <alignment horizontal="center"/>
    </xf>
    <xf numFmtId="0" fontId="7" fillId="0" borderId="1" xfId="4" applyFont="1" applyAlignment="1">
      <alignment horizontal="left"/>
    </xf>
    <xf numFmtId="0" fontId="15" fillId="0" borderId="1" xfId="4" applyFont="1" applyAlignment="1" applyProtection="1">
      <alignment horizontal="center"/>
      <protection locked="0"/>
    </xf>
    <xf numFmtId="0" fontId="1" fillId="0" borderId="1" xfId="4" applyFont="1" applyAlignment="1">
      <alignment vertical="center" wrapText="1"/>
    </xf>
    <xf numFmtId="0" fontId="1" fillId="0" borderId="1" xfId="4" applyFont="1" applyAlignment="1">
      <alignment horizontal="center" vertical="center" wrapText="1"/>
    </xf>
    <xf numFmtId="0" fontId="11" fillId="3" borderId="1" xfId="4" applyFill="1"/>
    <xf numFmtId="0" fontId="1" fillId="3" borderId="1" xfId="4" applyFont="1" applyFill="1" applyAlignment="1">
      <alignment vertical="center" wrapText="1"/>
    </xf>
    <xf numFmtId="0" fontId="22" fillId="2" borderId="1" xfId="4" applyFont="1" applyFill="1" applyAlignment="1">
      <alignment horizontal="left" vertical="center"/>
    </xf>
    <xf numFmtId="0" fontId="7" fillId="5" borderId="1" xfId="4" applyFont="1" applyFill="1" applyAlignment="1">
      <alignment horizontal="left"/>
    </xf>
    <xf numFmtId="0" fontId="21" fillId="0" borderId="1" xfId="4" applyFont="1" applyAlignment="1">
      <alignment horizontal="right" vertical="center" wrapText="1"/>
    </xf>
    <xf numFmtId="0" fontId="21" fillId="5" borderId="1" xfId="4" applyFont="1" applyFill="1" applyAlignment="1">
      <alignment horizontal="right" vertical="center" wrapText="1"/>
    </xf>
    <xf numFmtId="0" fontId="8" fillId="0" borderId="1" xfId="4" applyFont="1" applyAlignment="1">
      <alignment horizontal="center" vertical="center" wrapText="1"/>
    </xf>
    <xf numFmtId="0" fontId="8" fillId="0" borderId="1" xfId="4" applyFont="1" applyAlignment="1">
      <alignment vertical="center" wrapText="1"/>
    </xf>
    <xf numFmtId="0" fontId="0" fillId="5" borderId="0" xfId="0" applyFill="1" applyAlignment="1">
      <alignment horizontal="left" vertical="center" wrapText="1"/>
    </xf>
    <xf numFmtId="0" fontId="0" fillId="5" borderId="0" xfId="0" applyFill="1"/>
    <xf numFmtId="0" fontId="30" fillId="5" borderId="2" xfId="0" applyFont="1" applyFill="1" applyBorder="1" applyAlignment="1">
      <alignment horizontal="center" vertical="center" wrapText="1"/>
    </xf>
    <xf numFmtId="0" fontId="29" fillId="5" borderId="2" xfId="0" applyFont="1" applyFill="1" applyBorder="1" applyAlignment="1">
      <alignment vertical="center"/>
    </xf>
    <xf numFmtId="0" fontId="29" fillId="5" borderId="2" xfId="0" applyFont="1" applyFill="1" applyBorder="1" applyAlignment="1">
      <alignment vertical="center" wrapText="1"/>
    </xf>
    <xf numFmtId="0" fontId="31" fillId="5" borderId="2" xfId="0" applyFont="1" applyFill="1" applyBorder="1" applyAlignment="1">
      <alignment horizontal="center" vertical="center" wrapText="1"/>
    </xf>
    <xf numFmtId="0" fontId="0" fillId="5" borderId="0" xfId="0" applyFill="1" applyAlignment="1">
      <alignment vertical="center"/>
    </xf>
    <xf numFmtId="0" fontId="0" fillId="5" borderId="1" xfId="0" applyFill="1" applyBorder="1"/>
    <xf numFmtId="0" fontId="33" fillId="5" borderId="2" xfId="0" applyFont="1" applyFill="1" applyBorder="1" applyAlignment="1">
      <alignment vertical="center" wrapText="1"/>
    </xf>
    <xf numFmtId="0" fontId="0" fillId="5" borderId="0" xfId="0" applyFill="1" applyAlignment="1">
      <alignment horizontal="left" vertical="center"/>
    </xf>
    <xf numFmtId="0" fontId="34" fillId="5" borderId="2" xfId="0" applyFont="1" applyFill="1" applyBorder="1" applyAlignment="1">
      <alignment horizontal="left" vertical="top" wrapText="1"/>
    </xf>
    <xf numFmtId="0" fontId="9" fillId="5" borderId="2" xfId="0" applyFont="1" applyFill="1" applyBorder="1" applyAlignment="1">
      <alignment horizontal="left" vertical="top" wrapText="1"/>
    </xf>
    <xf numFmtId="0" fontId="35" fillId="5" borderId="2" xfId="0" applyFont="1" applyFill="1" applyBorder="1" applyAlignment="1">
      <alignment horizontal="left" vertical="top" wrapText="1"/>
    </xf>
    <xf numFmtId="0" fontId="28" fillId="5" borderId="2" xfId="0" applyFont="1" applyFill="1" applyBorder="1" applyAlignment="1">
      <alignment vertical="center" wrapText="1"/>
    </xf>
    <xf numFmtId="0" fontId="0" fillId="5" borderId="1" xfId="0" applyFill="1" applyBorder="1" applyAlignment="1">
      <alignment horizontal="left" vertical="center" wrapText="1"/>
    </xf>
    <xf numFmtId="0" fontId="0" fillId="5" borderId="9" xfId="0" applyFill="1" applyBorder="1" applyAlignment="1">
      <alignment horizontal="left" vertical="center" wrapText="1"/>
    </xf>
    <xf numFmtId="0" fontId="29" fillId="5" borderId="6" xfId="0" applyFont="1" applyFill="1" applyBorder="1" applyAlignment="1">
      <alignment vertical="center"/>
    </xf>
    <xf numFmtId="0" fontId="29" fillId="5" borderId="6" xfId="0" applyFont="1" applyFill="1" applyBorder="1" applyAlignment="1">
      <alignment vertical="center" wrapText="1"/>
    </xf>
    <xf numFmtId="0" fontId="31" fillId="5" borderId="6" xfId="0" quotePrefix="1" applyFont="1" applyFill="1" applyBorder="1" applyAlignment="1">
      <alignment horizontal="center" vertical="center" wrapText="1"/>
    </xf>
    <xf numFmtId="0" fontId="0" fillId="5" borderId="1" xfId="0" applyFill="1" applyBorder="1" applyAlignment="1">
      <alignment horizontal="left" vertical="center"/>
    </xf>
    <xf numFmtId="0" fontId="0" fillId="5" borderId="9" xfId="0" applyFill="1" applyBorder="1" applyAlignment="1">
      <alignment horizontal="left" vertical="center"/>
    </xf>
    <xf numFmtId="0" fontId="32" fillId="5" borderId="2" xfId="0" applyFont="1" applyFill="1" applyBorder="1" applyAlignment="1">
      <alignment horizontal="center" vertical="center" wrapText="1"/>
    </xf>
    <xf numFmtId="17" fontId="32" fillId="5" borderId="2" xfId="0" quotePrefix="1" applyNumberFormat="1" applyFont="1" applyFill="1" applyBorder="1" applyAlignment="1">
      <alignment horizontal="center" vertical="center" wrapText="1"/>
    </xf>
    <xf numFmtId="2" fontId="31" fillId="5" borderId="2" xfId="0" applyNumberFormat="1" applyFont="1" applyFill="1" applyBorder="1" applyAlignment="1">
      <alignment horizontal="center" vertical="center" wrapText="1"/>
    </xf>
    <xf numFmtId="0" fontId="31" fillId="5" borderId="6" xfId="0" applyFont="1" applyFill="1" applyBorder="1" applyAlignment="1">
      <alignment horizontal="center" vertical="center" wrapText="1"/>
    </xf>
    <xf numFmtId="0" fontId="13" fillId="5" borderId="0" xfId="0" applyFont="1" applyFill="1"/>
    <xf numFmtId="0" fontId="37" fillId="0" borderId="1" xfId="4" applyFont="1" applyAlignment="1">
      <alignment vertical="center" wrapText="1"/>
    </xf>
    <xf numFmtId="0" fontId="37" fillId="0" borderId="1" xfId="4" applyFont="1"/>
    <xf numFmtId="0" fontId="38" fillId="0" borderId="1" xfId="4" applyFont="1" applyAlignment="1">
      <alignment vertical="center" wrapText="1"/>
    </xf>
    <xf numFmtId="0" fontId="39" fillId="0" borderId="1" xfId="4" applyFont="1"/>
    <xf numFmtId="0" fontId="37" fillId="0" borderId="1" xfId="4" applyFont="1" applyAlignment="1">
      <alignment horizontal="left" vertical="center" wrapText="1"/>
    </xf>
    <xf numFmtId="0" fontId="37" fillId="0" borderId="1" xfId="4" applyFont="1" applyAlignment="1">
      <alignment horizontal="left" vertical="center"/>
    </xf>
    <xf numFmtId="0" fontId="39" fillId="0" borderId="1" xfId="4" applyFont="1" applyAlignment="1">
      <alignment horizontal="center"/>
    </xf>
    <xf numFmtId="0" fontId="37" fillId="0" borderId="1" xfId="4" applyFont="1" applyAlignment="1">
      <alignment horizontal="center" vertical="center" wrapText="1"/>
    </xf>
    <xf numFmtId="0" fontId="39" fillId="0" borderId="1" xfId="4" applyFont="1" applyAlignment="1">
      <alignment vertical="center"/>
    </xf>
    <xf numFmtId="0" fontId="37" fillId="0" borderId="1" xfId="4" applyFont="1" applyAlignment="1">
      <alignment horizontal="center" vertical="center"/>
    </xf>
    <xf numFmtId="0" fontId="14" fillId="0" borderId="1" xfId="4" applyFont="1" applyAlignment="1">
      <alignment horizontal="left" vertical="center" wrapText="1"/>
    </xf>
    <xf numFmtId="0" fontId="41" fillId="0" borderId="1" xfId="4" applyFont="1"/>
    <xf numFmtId="0" fontId="14" fillId="0" borderId="1" xfId="4" applyFont="1" applyAlignment="1">
      <alignment vertical="center" wrapText="1"/>
    </xf>
    <xf numFmtId="0" fontId="42" fillId="0" borderId="1" xfId="4" applyFont="1" applyAlignment="1">
      <alignment vertical="center" wrapText="1"/>
    </xf>
    <xf numFmtId="0" fontId="14" fillId="0" borderId="1" xfId="4" applyFont="1" applyAlignment="1">
      <alignment vertical="center"/>
    </xf>
    <xf numFmtId="0" fontId="43" fillId="0" borderId="1" xfId="4" applyFont="1" applyAlignment="1">
      <alignment vertical="center" wrapText="1"/>
    </xf>
    <xf numFmtId="0" fontId="6" fillId="5" borderId="1" xfId="4" applyFont="1" applyFill="1"/>
    <xf numFmtId="0" fontId="23" fillId="0" borderId="1" xfId="4" applyFont="1" applyAlignment="1">
      <alignment vertical="center" wrapText="1"/>
    </xf>
    <xf numFmtId="0" fontId="23" fillId="0" borderId="1" xfId="4" applyFont="1" applyAlignment="1">
      <alignment horizontal="center" vertical="center" wrapText="1"/>
    </xf>
    <xf numFmtId="0" fontId="14" fillId="0" borderId="2" xfId="4" applyFont="1" applyBorder="1" applyAlignment="1">
      <alignment horizontal="center" vertical="center" wrapText="1"/>
    </xf>
    <xf numFmtId="0" fontId="23" fillId="0" borderId="1" xfId="4" applyFont="1"/>
    <xf numFmtId="0" fontId="6" fillId="0" borderId="2" xfId="4" applyFont="1" applyBorder="1" applyAlignment="1">
      <alignment horizontal="center" vertical="center" wrapText="1"/>
    </xf>
    <xf numFmtId="0" fontId="6" fillId="5" borderId="2" xfId="4" applyFont="1" applyFill="1" applyBorder="1" applyAlignment="1">
      <alignment horizontal="center" vertical="center" wrapText="1"/>
    </xf>
    <xf numFmtId="0" fontId="17" fillId="0" borderId="2" xfId="0" applyFont="1" applyBorder="1" applyAlignment="1">
      <alignment horizontal="center" vertical="center" wrapText="1"/>
    </xf>
    <xf numFmtId="0" fontId="14" fillId="0" borderId="1" xfId="4" applyFont="1" applyAlignment="1">
      <alignment horizontal="center" vertical="center" wrapText="1"/>
    </xf>
    <xf numFmtId="0" fontId="6" fillId="4" borderId="2" xfId="0" applyFont="1" applyFill="1" applyBorder="1" applyAlignment="1">
      <alignment horizontal="center" vertical="center" wrapText="1"/>
    </xf>
    <xf numFmtId="0" fontId="44" fillId="0" borderId="2" xfId="4" applyFont="1" applyBorder="1" applyAlignment="1">
      <alignment horizontal="left" vertical="top" wrapText="1"/>
    </xf>
    <xf numFmtId="0" fontId="45" fillId="0" borderId="2" xfId="4" applyFont="1" applyBorder="1" applyAlignment="1">
      <alignment horizontal="center" vertical="top" wrapText="1"/>
    </xf>
    <xf numFmtId="0" fontId="44" fillId="0" borderId="2" xfId="4" applyFont="1" applyBorder="1" applyAlignment="1">
      <alignment horizontal="center" vertical="top" wrapText="1"/>
    </xf>
    <xf numFmtId="0" fontId="23" fillId="0" borderId="1" xfId="4" applyFont="1" applyAlignment="1">
      <alignment vertical="top" wrapText="1"/>
    </xf>
    <xf numFmtId="0" fontId="23" fillId="0" borderId="1" xfId="4" applyFont="1" applyAlignment="1">
      <alignment vertical="top"/>
    </xf>
    <xf numFmtId="0" fontId="44" fillId="0" borderId="2" xfId="4" applyFont="1" applyBorder="1" applyAlignment="1">
      <alignment horizontal="center" vertical="center" wrapText="1"/>
    </xf>
    <xf numFmtId="0" fontId="45" fillId="0" borderId="2" xfId="4" applyFont="1" applyBorder="1" applyAlignment="1">
      <alignment horizontal="center" vertical="center" wrapText="1"/>
    </xf>
    <xf numFmtId="17" fontId="45" fillId="0" borderId="2" xfId="4" applyNumberFormat="1" applyFont="1" applyBorder="1" applyAlignment="1">
      <alignment horizontal="center" vertical="center" wrapText="1"/>
    </xf>
    <xf numFmtId="0" fontId="14" fillId="0" borderId="7" xfId="4" applyFont="1" applyBorder="1" applyAlignment="1">
      <alignment vertical="center"/>
    </xf>
    <xf numFmtId="0" fontId="5" fillId="5" borderId="2" xfId="0" applyFont="1" applyFill="1" applyBorder="1" applyAlignment="1">
      <alignment vertical="top" wrapText="1"/>
    </xf>
    <xf numFmtId="0" fontId="40" fillId="0" borderId="1" xfId="4" applyFont="1" applyAlignment="1">
      <alignment horizontal="left" vertical="center"/>
    </xf>
    <xf numFmtId="0" fontId="50" fillId="0" borderId="1" xfId="4" applyFont="1" applyAlignment="1">
      <alignment vertical="center"/>
    </xf>
    <xf numFmtId="0" fontId="51" fillId="0" borderId="1" xfId="4" applyFont="1" applyAlignment="1">
      <alignment horizontal="left"/>
    </xf>
    <xf numFmtId="0" fontId="54" fillId="0" borderId="2" xfId="4" applyFont="1" applyBorder="1" applyAlignment="1">
      <alignment horizontal="center" vertical="top" wrapText="1"/>
    </xf>
    <xf numFmtId="0" fontId="52" fillId="0" borderId="2" xfId="4" applyFont="1" applyBorder="1" applyAlignment="1">
      <alignment horizontal="center" vertical="top" wrapText="1"/>
    </xf>
    <xf numFmtId="0" fontId="21" fillId="0" borderId="1" xfId="4" applyFont="1" applyAlignment="1">
      <alignment horizontal="center" vertical="center" wrapText="1"/>
    </xf>
    <xf numFmtId="0" fontId="41" fillId="0" borderId="1" xfId="4" applyFont="1" applyAlignment="1">
      <alignment horizontal="center"/>
    </xf>
    <xf numFmtId="0" fontId="14" fillId="0" borderId="1" xfId="4" applyFont="1" applyAlignment="1">
      <alignment horizontal="center" vertical="center"/>
    </xf>
    <xf numFmtId="0" fontId="7" fillId="0" borderId="1" xfId="4" applyFont="1" applyAlignment="1">
      <alignment horizontal="center" vertical="center" wrapText="1"/>
    </xf>
    <xf numFmtId="4" fontId="11" fillId="0" borderId="1" xfId="4" applyNumberFormat="1"/>
    <xf numFmtId="4" fontId="7" fillId="0" borderId="1" xfId="4" applyNumberFormat="1" applyFont="1" applyAlignment="1">
      <alignment horizontal="left"/>
    </xf>
    <xf numFmtId="4" fontId="41" fillId="0" borderId="1" xfId="4" applyNumberFormat="1" applyFont="1"/>
    <xf numFmtId="4" fontId="23" fillId="0" borderId="1" xfId="4" applyNumberFormat="1" applyFont="1" applyAlignment="1">
      <alignment horizontal="center" vertical="center" wrapText="1"/>
    </xf>
    <xf numFmtId="4" fontId="14" fillId="0" borderId="2" xfId="4" applyNumberFormat="1" applyFont="1" applyBorder="1" applyAlignment="1">
      <alignment horizontal="center" vertical="center" wrapText="1"/>
    </xf>
    <xf numFmtId="4" fontId="6" fillId="4" borderId="2" xfId="0" applyNumberFormat="1" applyFont="1" applyFill="1" applyBorder="1" applyAlignment="1">
      <alignment horizontal="center" vertical="center" wrapText="1"/>
    </xf>
    <xf numFmtId="4" fontId="45" fillId="0" borderId="2" xfId="4" applyNumberFormat="1" applyFont="1" applyBorder="1" applyAlignment="1">
      <alignment horizontal="center" vertical="top" wrapText="1"/>
    </xf>
    <xf numFmtId="4" fontId="45" fillId="0" borderId="2" xfId="4" applyNumberFormat="1" applyFont="1" applyBorder="1" applyAlignment="1">
      <alignment horizontal="center" vertical="center" wrapText="1"/>
    </xf>
    <xf numFmtId="4" fontId="54" fillId="0" borderId="2" xfId="4" applyNumberFormat="1" applyFont="1" applyBorder="1" applyAlignment="1">
      <alignment horizontal="center" vertical="top" wrapText="1"/>
    </xf>
    <xf numFmtId="4" fontId="23" fillId="0" borderId="8" xfId="4" applyNumberFormat="1" applyFont="1" applyBorder="1"/>
    <xf numFmtId="4" fontId="7" fillId="0" borderId="1" xfId="4" applyNumberFormat="1" applyFont="1"/>
    <xf numFmtId="4" fontId="37" fillId="0" borderId="1" xfId="4" applyNumberFormat="1" applyFont="1"/>
    <xf numFmtId="4" fontId="40" fillId="0" borderId="1" xfId="4" applyNumberFormat="1" applyFont="1" applyAlignment="1">
      <alignment horizontal="center" vertical="center"/>
    </xf>
    <xf numFmtId="4" fontId="1" fillId="0" borderId="1" xfId="4" applyNumberFormat="1" applyFont="1" applyAlignment="1">
      <alignment vertical="center" wrapText="1"/>
    </xf>
    <xf numFmtId="0" fontId="37" fillId="0" borderId="1" xfId="4" applyFont="1" applyAlignment="1">
      <alignment horizontal="right" vertical="center"/>
    </xf>
    <xf numFmtId="0" fontId="57" fillId="0" borderId="1" xfId="4" applyFont="1" applyAlignment="1">
      <alignment horizontal="center" vertical="center" wrapText="1"/>
    </xf>
    <xf numFmtId="0" fontId="58" fillId="0" borderId="1" xfId="4" applyFont="1" applyAlignment="1">
      <alignment vertical="center"/>
    </xf>
    <xf numFmtId="0" fontId="60" fillId="0" borderId="1" xfId="4" applyFont="1" applyAlignment="1">
      <alignment vertical="center" wrapText="1"/>
    </xf>
    <xf numFmtId="0" fontId="20" fillId="3" borderId="2" xfId="4" applyFont="1" applyFill="1" applyBorder="1" applyAlignment="1">
      <alignment horizontal="left" vertical="top" wrapText="1"/>
    </xf>
    <xf numFmtId="0" fontId="53" fillId="0" borderId="2" xfId="4" applyFont="1" applyBorder="1" applyAlignment="1">
      <alignment horizontal="left" vertical="top" wrapText="1" indent="4"/>
    </xf>
    <xf numFmtId="0" fontId="53" fillId="0" borderId="2" xfId="4" applyFont="1" applyBorder="1" applyAlignment="1">
      <alignment horizontal="left" vertical="top" wrapText="1" indent="5"/>
    </xf>
    <xf numFmtId="0" fontId="56" fillId="0" borderId="2" xfId="4" applyFont="1" applyBorder="1" applyAlignment="1">
      <alignment horizontal="left" vertical="top" wrapText="1"/>
    </xf>
    <xf numFmtId="0" fontId="57" fillId="0" borderId="1" xfId="4" applyFont="1" applyAlignment="1">
      <alignment horizontal="center" vertical="center"/>
    </xf>
    <xf numFmtId="0" fontId="39" fillId="0" borderId="1" xfId="4" applyFont="1" applyAlignment="1">
      <alignment horizontal="center" vertical="center"/>
    </xf>
    <xf numFmtId="17" fontId="54" fillId="0" borderId="2" xfId="4" quotePrefix="1" applyNumberFormat="1" applyFont="1" applyBorder="1" applyAlignment="1">
      <alignment horizontal="center" vertical="top" wrapText="1"/>
    </xf>
    <xf numFmtId="0" fontId="54" fillId="0" borderId="2" xfId="4" quotePrefix="1" applyFont="1" applyBorder="1" applyAlignment="1">
      <alignment horizontal="center" vertical="top" wrapText="1"/>
    </xf>
    <xf numFmtId="0" fontId="61" fillId="0" borderId="2" xfId="4" applyFont="1" applyBorder="1" applyAlignment="1">
      <alignment horizontal="left" vertical="center" indent="3"/>
    </xf>
    <xf numFmtId="0" fontId="52" fillId="0" borderId="2" xfId="4" applyFont="1" applyBorder="1" applyAlignment="1">
      <alignment horizontal="left" vertical="top" wrapText="1" indent="5"/>
    </xf>
    <xf numFmtId="0" fontId="23" fillId="0" borderId="1" xfId="4" applyFont="1">
      <extLst>
        <ext xmlns:xfpb="http://schemas.microsoft.com/office/spreadsheetml/2022/featurepropertybag" uri="{C7286773-470A-42A8-94C5-96B5CB345126}">
          <xfpb:xfComplement i="0"/>
        </ext>
      </extLst>
    </xf>
    <xf numFmtId="0" fontId="25" fillId="2" borderId="1" xfId="4" applyFont="1" applyFill="1" applyAlignment="1">
      <alignment vertical="center"/>
      <extLst>
        <ext xmlns:xfpb="http://schemas.microsoft.com/office/spreadsheetml/2022/featurepropertybag" uri="{C7286773-470A-42A8-94C5-96B5CB345126}">
          <xfpb:xfComplement i="0"/>
        </ext>
      </extLst>
    </xf>
    <xf numFmtId="0" fontId="24" fillId="5" borderId="1" xfId="4" applyFont="1" applyFill="1">
      <extLst>
        <ext xmlns:xfpb="http://schemas.microsoft.com/office/spreadsheetml/2022/featurepropertybag" uri="{C7286773-470A-42A8-94C5-96B5CB345126}">
          <xfpb:xfComplement i="0"/>
        </ext>
      </extLst>
    </xf>
    <xf numFmtId="0" fontId="26" fillId="2" borderId="1" xfId="4" applyFont="1" applyFill="1" applyAlignment="1">
      <alignment vertical="center"/>
    </xf>
    <xf numFmtId="4" fontId="54" fillId="6" borderId="2" xfId="4" applyNumberFormat="1" applyFont="1" applyFill="1" applyBorder="1" applyAlignment="1">
      <alignment horizontal="center" vertical="top" wrapText="1"/>
    </xf>
    <xf numFmtId="0" fontId="38" fillId="0" borderId="1" xfId="4" applyFont="1" applyAlignment="1">
      <alignment horizontal="left" vertical="center"/>
    </xf>
    <xf numFmtId="0" fontId="38" fillId="0" borderId="1" xfId="4" applyFont="1" applyAlignment="1">
      <alignment horizontal="center" vertical="center" wrapText="1"/>
    </xf>
    <xf numFmtId="0" fontId="40" fillId="0" borderId="1" xfId="4" applyFont="1" applyAlignment="1">
      <alignment horizontal="center" vertical="center" wrapText="1"/>
    </xf>
    <xf numFmtId="0" fontId="39" fillId="0" borderId="1" xfId="4" applyFont="1" applyAlignment="1">
      <alignment vertical="center"/>
    </xf>
    <xf numFmtId="0" fontId="57" fillId="0" borderId="1" xfId="4" applyFont="1" applyAlignment="1">
      <alignment horizontal="center" vertical="center" wrapText="1"/>
    </xf>
    <xf numFmtId="0" fontId="59" fillId="0" borderId="1" xfId="4" applyFont="1" applyAlignment="1">
      <alignment horizontal="center" vertical="center" wrapText="1"/>
    </xf>
    <xf numFmtId="0" fontId="40" fillId="0" borderId="1" xfId="4" applyFont="1" applyAlignment="1">
      <alignment horizontal="center" vertical="center"/>
    </xf>
    <xf numFmtId="0" fontId="14" fillId="0" borderId="2" xfId="4" applyFont="1" applyBorder="1" applyAlignment="1">
      <alignment horizontal="center" vertical="center"/>
    </xf>
    <xf numFmtId="0" fontId="14" fillId="0" borderId="2" xfId="4" applyFont="1" applyBorder="1" applyAlignment="1">
      <alignment horizontal="center" vertical="center" wrapText="1"/>
    </xf>
    <xf numFmtId="0" fontId="37" fillId="0" borderId="1" xfId="4" applyFont="1" applyAlignment="1">
      <alignment horizontal="center" vertical="center"/>
    </xf>
    <xf numFmtId="0" fontId="47" fillId="0" borderId="1" xfId="4" applyFont="1" applyAlignment="1">
      <alignment horizontal="center"/>
    </xf>
    <xf numFmtId="0" fontId="48" fillId="2" borderId="1" xfId="4" applyFont="1" applyFill="1" applyAlignment="1">
      <alignment horizontal="center" vertical="center"/>
    </xf>
    <xf numFmtId="0" fontId="40" fillId="0" borderId="1" xfId="4" applyFont="1" applyAlignment="1">
      <alignment horizontal="left" vertical="center"/>
    </xf>
    <xf numFmtId="0" fontId="18" fillId="2" borderId="1" xfId="4" applyFont="1" applyFill="1" applyAlignment="1">
      <alignment horizontal="center" vertical="center"/>
    </xf>
    <xf numFmtId="0" fontId="20" fillId="5" borderId="3" xfId="0" applyFont="1" applyFill="1" applyBorder="1" applyAlignment="1">
      <alignment horizontal="left" vertical="center"/>
    </xf>
    <xf numFmtId="0" fontId="20" fillId="5" borderId="4" xfId="0" applyFont="1" applyFill="1" applyBorder="1" applyAlignment="1">
      <alignment horizontal="left" vertical="center"/>
    </xf>
    <xf numFmtId="0" fontId="20" fillId="5" borderId="5" xfId="0" applyFont="1" applyFill="1" applyBorder="1" applyAlignment="1">
      <alignment horizontal="left" vertical="center"/>
    </xf>
    <xf numFmtId="0" fontId="29" fillId="5" borderId="2" xfId="0" applyFont="1" applyFill="1" applyBorder="1" applyAlignment="1">
      <alignment vertical="center" wrapText="1"/>
    </xf>
    <xf numFmtId="0" fontId="30" fillId="5" borderId="2" xfId="0" applyFont="1" applyFill="1" applyBorder="1" applyAlignment="1">
      <alignment horizontal="center" vertical="center" wrapText="1"/>
    </xf>
    <xf numFmtId="0" fontId="16" fillId="0" borderId="1" xfId="1" applyFont="1" applyAlignment="1">
      <alignment horizontal="left" vertical="top" wrapText="1"/>
    </xf>
    <xf numFmtId="0" fontId="53" fillId="3" borderId="2" xfId="4" applyFont="1" applyFill="1" applyBorder="1" applyAlignment="1">
      <alignment horizontal="left" vertical="top" wrapText="1" indent="5"/>
    </xf>
  </cellXfs>
  <cellStyles count="6">
    <cellStyle name="Excel Built-in Normal" xfId="2" xr:uid="{00000000-0005-0000-0000-000000000000}"/>
    <cellStyle name="Normal" xfId="0" builtinId="0"/>
    <cellStyle name="Normal 2" xfId="1" xr:uid="{00000000-0005-0000-0000-000002000000}"/>
    <cellStyle name="Normal 3" xfId="3" xr:uid="{99463532-D65A-47C0-807D-90747F96D991}"/>
    <cellStyle name="Normal 3 2" xfId="5" xr:uid="{243DF7F0-4236-4D50-A6F0-FE21D43D7C71}"/>
    <cellStyle name="Normal 4" xfId="4" xr:uid="{D9474353-BF51-4FC0-B5CF-89A250C7503E}"/>
  </cellStyles>
  <dxfs count="0"/>
  <tableStyles count="0" defaultTableStyle="TableStyleMedium2" defaultPivotStyle="PivotStyleLight16"/>
  <colors>
    <mruColors>
      <color rgb="FFFFFF99"/>
      <color rgb="FF66FFFF"/>
      <color rgb="FF6699FF"/>
      <color rgb="FFFFD5FF"/>
      <color rgb="FFFFCCFF"/>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15" Type="http://schemas.openxmlformats.org/officeDocument/2006/relationships/theme" Target="theme/theme1.xml"/><Relationship Id="rId23" Type="http://schemas.microsoft.com/office/2022/11/relationships/FeaturePropertyBag" Target="featurePropertyBag/featurePropertyBag.xml"/><Relationship Id="rId19" Type="http://schemas.openxmlformats.org/officeDocument/2006/relationships/customXml" Target="../customXml/item1.xml"/><Relationship Id="rId4" Type="http://schemas.openxmlformats.org/officeDocument/2006/relationships/externalLink" Target="externalLinks/externalLink1.xml"/><Relationship Id="rId14" Type="http://customschemas.google.com/relationships/workbookmetadata" Target="metadata"/><Relationship Id="rId22" Type="http://schemas.openxmlformats.org/officeDocument/2006/relationships/customXml" Target="../customXml/item4.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5.JPG"/><Relationship Id="rId2" Type="http://schemas.openxmlformats.org/officeDocument/2006/relationships/image" Target="../media/image4.JPG"/><Relationship Id="rId1" Type="http://schemas.openxmlformats.org/officeDocument/2006/relationships/image" Target="../media/image3.JPG"/></Relationships>
</file>

<file path=xl/drawings/drawing1.xml><?xml version="1.0" encoding="utf-8"?>
<xdr:wsDr xmlns:xdr="http://schemas.openxmlformats.org/drawingml/2006/spreadsheetDrawing" xmlns:a="http://schemas.openxmlformats.org/drawingml/2006/main">
  <xdr:twoCellAnchor>
    <xdr:from>
      <xdr:col>3</xdr:col>
      <xdr:colOff>1279712</xdr:colOff>
      <xdr:row>7</xdr:row>
      <xdr:rowOff>33618</xdr:rowOff>
    </xdr:from>
    <xdr:to>
      <xdr:col>3</xdr:col>
      <xdr:colOff>1705535</xdr:colOff>
      <xdr:row>8</xdr:row>
      <xdr:rowOff>0</xdr:rowOff>
    </xdr:to>
    <xdr:sp macro="" textlink="">
      <xdr:nvSpPr>
        <xdr:cNvPr id="2" name="Rectangle 1">
          <a:extLst>
            <a:ext uri="{FF2B5EF4-FFF2-40B4-BE49-F238E27FC236}">
              <a16:creationId xmlns:a16="http://schemas.microsoft.com/office/drawing/2014/main" id="{CD5B9368-3A0C-4222-B075-429B9F1F3285}"/>
            </a:ext>
          </a:extLst>
        </xdr:cNvPr>
        <xdr:cNvSpPr/>
      </xdr:nvSpPr>
      <xdr:spPr>
        <a:xfrm>
          <a:off x="11521888" y="2274794"/>
          <a:ext cx="425823" cy="347382"/>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PH" sz="1100"/>
        </a:p>
      </xdr:txBody>
    </xdr:sp>
    <xdr:clientData/>
  </xdr:twoCellAnchor>
  <xdr:twoCellAnchor>
    <xdr:from>
      <xdr:col>5</xdr:col>
      <xdr:colOff>869390</xdr:colOff>
      <xdr:row>7</xdr:row>
      <xdr:rowOff>0</xdr:rowOff>
    </xdr:from>
    <xdr:to>
      <xdr:col>5</xdr:col>
      <xdr:colOff>1295213</xdr:colOff>
      <xdr:row>7</xdr:row>
      <xdr:rowOff>347382</xdr:rowOff>
    </xdr:to>
    <xdr:sp macro="" textlink="">
      <xdr:nvSpPr>
        <xdr:cNvPr id="3" name="Rectangle 2">
          <a:extLst>
            <a:ext uri="{FF2B5EF4-FFF2-40B4-BE49-F238E27FC236}">
              <a16:creationId xmlns:a16="http://schemas.microsoft.com/office/drawing/2014/main" id="{8B906CE6-5708-42F7-8BA0-12FB7AAEAA1C}"/>
            </a:ext>
            <a:ext uri="{147F2762-F138-4A5C-976F-8EAC2B608ADB}">
              <a16:predDERef xmlns:a16="http://schemas.microsoft.com/office/drawing/2014/main" pred="{D0D4DF72-435D-6BC9-5FC7-84651A87B1E9}"/>
            </a:ext>
          </a:extLst>
        </xdr:cNvPr>
        <xdr:cNvSpPr/>
      </xdr:nvSpPr>
      <xdr:spPr>
        <a:xfrm>
          <a:off x="12213665" y="1438275"/>
          <a:ext cx="425823" cy="347382"/>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PH" sz="1100"/>
        </a:p>
      </xdr:txBody>
    </xdr:sp>
    <xdr:clientData/>
  </xdr:twoCellAnchor>
  <xdr:twoCellAnchor editAs="oneCell">
    <xdr:from>
      <xdr:col>5</xdr:col>
      <xdr:colOff>835961</xdr:colOff>
      <xdr:row>6</xdr:row>
      <xdr:rowOff>309280</xdr:rowOff>
    </xdr:from>
    <xdr:to>
      <xdr:col>5</xdr:col>
      <xdr:colOff>1346950</xdr:colOff>
      <xdr:row>8</xdr:row>
      <xdr:rowOff>49304</xdr:rowOff>
    </xdr:to>
    <xdr:pic>
      <xdr:nvPicPr>
        <xdr:cNvPr id="5" name="Graphic 4" descr="Checkmark with solid fill">
          <a:extLst>
            <a:ext uri="{FF2B5EF4-FFF2-40B4-BE49-F238E27FC236}">
              <a16:creationId xmlns:a16="http://schemas.microsoft.com/office/drawing/2014/main" id="{C8FF6378-8784-01DF-5BFD-CAAE430189C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5963902" y="2169456"/>
          <a:ext cx="510989" cy="50202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123825</xdr:colOff>
      <xdr:row>1</xdr:row>
      <xdr:rowOff>95250</xdr:rowOff>
    </xdr:from>
    <xdr:ext cx="3981450" cy="5553075"/>
    <xdr:pic>
      <xdr:nvPicPr>
        <xdr:cNvPr id="2" name="Picture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23825" y="1609725"/>
          <a:ext cx="3981450" cy="5553075"/>
        </a:xfrm>
        <a:prstGeom prst="rect">
          <a:avLst/>
        </a:prstGeom>
      </xdr:spPr>
    </xdr:pic>
    <xdr:clientData/>
  </xdr:oneCellAnchor>
  <xdr:oneCellAnchor>
    <xdr:from>
      <xdr:col>6</xdr:col>
      <xdr:colOff>412750</xdr:colOff>
      <xdr:row>1</xdr:row>
      <xdr:rowOff>101600</xdr:rowOff>
    </xdr:from>
    <xdr:ext cx="3990975" cy="5607050"/>
    <xdr:pic>
      <xdr:nvPicPr>
        <xdr:cNvPr id="3" name="Picture 2">
          <a:extLst>
            <a:ext uri="{FF2B5EF4-FFF2-40B4-BE49-F238E27FC236}">
              <a16:creationId xmlns:a16="http://schemas.microsoft.com/office/drawing/2014/main" id="{00000000-0008-0000-0400-000003000000}"/>
            </a:ext>
          </a:extLst>
        </xdr:cNvPr>
        <xdr:cNvPicPr>
          <a:picLocks noChangeAspect="1"/>
        </xdr:cNvPicPr>
      </xdr:nvPicPr>
      <xdr:blipFill rotWithShape="1">
        <a:blip xmlns:r="http://schemas.openxmlformats.org/officeDocument/2006/relationships" r:embed="rId2">
          <a:extLst>
            <a:ext uri="{28A0092B-C50C-407E-A947-70E740481C1C}">
              <a14:useLocalDpi xmlns:a14="http://schemas.microsoft.com/office/drawing/2010/main" val="0"/>
            </a:ext>
          </a:extLst>
        </a:blip>
        <a:srcRect t="226"/>
        <a:stretch/>
      </xdr:blipFill>
      <xdr:spPr>
        <a:xfrm>
          <a:off x="4260850" y="1136650"/>
          <a:ext cx="3990975" cy="5607050"/>
        </a:xfrm>
        <a:prstGeom prst="rect">
          <a:avLst/>
        </a:prstGeom>
      </xdr:spPr>
    </xdr:pic>
    <xdr:clientData/>
  </xdr:oneCellAnchor>
  <xdr:oneCellAnchor>
    <xdr:from>
      <xdr:col>13</xdr:col>
      <xdr:colOff>195466</xdr:colOff>
      <xdr:row>1</xdr:row>
      <xdr:rowOff>106881</xdr:rowOff>
    </xdr:from>
    <xdr:ext cx="3990975" cy="5467350"/>
    <xdr:pic>
      <xdr:nvPicPr>
        <xdr:cNvPr id="4" name="Picture 3">
          <a:extLst>
            <a:ext uri="{FF2B5EF4-FFF2-40B4-BE49-F238E27FC236}">
              <a16:creationId xmlns:a16="http://schemas.microsoft.com/office/drawing/2014/main" id="{00000000-0008-0000-0400-000004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532199" y="1622079"/>
          <a:ext cx="3990975" cy="5467350"/>
        </a:xfrm>
        <a:prstGeom prst="rect">
          <a:avLst/>
        </a:prstGeom>
      </xdr:spPr>
    </xdr:pic>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gppbgov.sharepoint.com/Users/USER/AppData/Local/Microsoft/Windows/INetCache/Content.Outlook/W59WWU46/20.05.2020%20Revised%20PPMP%20Forma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PMP"/>
      <sheetName val="Comments and Suggestions"/>
      <sheetName val="Data Validation"/>
    </sheetNames>
    <sheetDataSet>
      <sheetData sheetId="0"/>
      <sheetData sheetId="1" refreshError="1"/>
      <sheetData sheetId="2" refreshError="1"/>
    </sheetDataSet>
  </externalBook>
</externalLink>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7EC13D-BF67-4AD4-A808-B6D70247A1BC}">
  <sheetPr>
    <pageSetUpPr fitToPage="1"/>
  </sheetPr>
  <dimension ref="A1:V1070"/>
  <sheetViews>
    <sheetView showGridLines="0" tabSelected="1" view="pageBreakPreview" topLeftCell="A16" zoomScale="50" zoomScaleNormal="85" zoomScaleSheetLayoutView="50" workbookViewId="0">
      <pane xSplit="1" ySplit="4" topLeftCell="B76" activePane="bottomRight" state="frozen"/>
      <selection activeCell="A16" sqref="A16"/>
      <selection pane="topRight" activeCell="B16" sqref="B16"/>
      <selection pane="bottomLeft" activeCell="A20" sqref="A20"/>
      <selection pane="bottomRight" activeCell="C78" sqref="C78"/>
    </sheetView>
  </sheetViews>
  <sheetFormatPr defaultColWidth="14.453125" defaultRowHeight="12.75" customHeight="1"/>
  <cols>
    <col min="1" max="1" width="87.54296875" style="3" customWidth="1"/>
    <col min="2" max="2" width="36.7265625" style="6" customWidth="1"/>
    <col min="3" max="3" width="29.453125" style="6" customWidth="1"/>
    <col min="4" max="4" width="28.81640625" style="3" customWidth="1"/>
    <col min="5" max="5" width="19.81640625" style="3" customWidth="1"/>
    <col min="6" max="6" width="24.54296875" style="3" customWidth="1"/>
    <col min="7" max="7" width="19.81640625" style="3" customWidth="1"/>
    <col min="8" max="8" width="20" style="3" customWidth="1"/>
    <col min="9" max="9" width="27" style="11" customWidth="1"/>
    <col min="10" max="10" width="22" style="90" customWidth="1"/>
    <col min="11" max="11" width="29" style="3" customWidth="1"/>
    <col min="12" max="12" width="46.54296875" style="3" customWidth="1"/>
    <col min="13" max="16384" width="14.453125" style="3"/>
  </cols>
  <sheetData>
    <row r="1" spans="1:22" ht="12.5">
      <c r="I1" s="3"/>
    </row>
    <row r="2" spans="1:22" ht="12.5">
      <c r="I2" s="3"/>
    </row>
    <row r="3" spans="1:22" ht="27.65" customHeight="1">
      <c r="A3" s="133" t="s">
        <v>128</v>
      </c>
      <c r="B3" s="133"/>
      <c r="C3" s="133"/>
      <c r="D3" s="133"/>
      <c r="E3" s="133"/>
      <c r="F3" s="133"/>
      <c r="G3" s="133"/>
      <c r="H3" s="133"/>
      <c r="I3" s="133"/>
      <c r="J3" s="133"/>
      <c r="K3" s="133"/>
      <c r="L3" s="133"/>
    </row>
    <row r="4" spans="1:22" ht="37.5" customHeight="1">
      <c r="A4" s="136" t="s">
        <v>127</v>
      </c>
      <c r="B4" s="136"/>
      <c r="C4" s="136"/>
      <c r="D4" s="136"/>
      <c r="E4" s="136"/>
      <c r="F4" s="136"/>
      <c r="G4" s="136"/>
      <c r="H4" s="136"/>
      <c r="I4" s="136"/>
      <c r="J4" s="136"/>
      <c r="K4" s="136"/>
      <c r="L4" s="136"/>
    </row>
    <row r="5" spans="1:22" ht="37.5" customHeight="1">
      <c r="A5" s="134" t="s">
        <v>129</v>
      </c>
      <c r="B5" s="134"/>
      <c r="C5" s="134"/>
      <c r="D5" s="134"/>
      <c r="E5" s="134"/>
      <c r="F5" s="134"/>
      <c r="G5" s="134"/>
      <c r="H5" s="134"/>
      <c r="I5" s="134"/>
      <c r="J5" s="134"/>
      <c r="K5" s="134"/>
      <c r="L5" s="134"/>
    </row>
    <row r="6" spans="1:22" ht="19.149999999999999" customHeight="1">
      <c r="A6" s="136" t="s">
        <v>130</v>
      </c>
      <c r="B6" s="136"/>
      <c r="C6" s="136"/>
      <c r="D6" s="136"/>
      <c r="E6" s="136"/>
      <c r="F6" s="136"/>
      <c r="G6" s="136"/>
      <c r="H6" s="136"/>
      <c r="I6" s="136"/>
      <c r="J6" s="136"/>
      <c r="K6" s="136"/>
      <c r="L6" s="136"/>
    </row>
    <row r="7" spans="1:22" ht="30" customHeight="1">
      <c r="A7" s="136"/>
      <c r="B7" s="136"/>
      <c r="C7" s="136"/>
      <c r="D7" s="136"/>
      <c r="E7" s="136"/>
      <c r="F7" s="136"/>
      <c r="G7" s="136"/>
      <c r="H7" s="136"/>
      <c r="I7" s="136"/>
      <c r="J7" s="136"/>
      <c r="K7" s="136"/>
      <c r="L7" s="136"/>
      <c r="M7" s="9"/>
      <c r="N7" s="9"/>
      <c r="O7" s="9"/>
      <c r="P7" s="9"/>
      <c r="Q7" s="9"/>
      <c r="R7" s="9"/>
      <c r="S7" s="9"/>
      <c r="T7" s="9"/>
      <c r="U7" s="9"/>
      <c r="V7" s="9"/>
    </row>
    <row r="8" spans="1:22" ht="30" customHeight="1">
      <c r="A8" s="13"/>
      <c r="C8" s="7"/>
      <c r="D8" s="118"/>
      <c r="E8" s="119" t="s">
        <v>19</v>
      </c>
      <c r="F8" s="120"/>
      <c r="G8" s="121" t="s">
        <v>20</v>
      </c>
      <c r="I8" s="7"/>
      <c r="J8" s="91"/>
      <c r="K8" s="7"/>
      <c r="L8" s="7"/>
      <c r="M8" s="9"/>
      <c r="N8" s="9"/>
      <c r="O8" s="9"/>
      <c r="P8" s="9"/>
      <c r="Q8" s="9"/>
      <c r="R8" s="9"/>
      <c r="S8" s="9"/>
      <c r="T8" s="9"/>
      <c r="U8" s="9"/>
      <c r="V8" s="9"/>
    </row>
    <row r="9" spans="1:22" ht="30" customHeight="1">
      <c r="A9" s="13"/>
      <c r="C9" s="7"/>
      <c r="D9" s="7"/>
      <c r="E9" s="7"/>
      <c r="F9" s="7"/>
      <c r="G9" s="14"/>
      <c r="H9" s="7"/>
      <c r="I9" s="7"/>
      <c r="J9" s="91"/>
      <c r="K9" s="7"/>
      <c r="L9" s="7"/>
      <c r="M9" s="9"/>
      <c r="N9" s="9"/>
      <c r="O9" s="9"/>
      <c r="P9" s="9"/>
      <c r="Q9" s="9"/>
      <c r="R9" s="9"/>
      <c r="S9" s="9"/>
      <c r="T9" s="9"/>
      <c r="U9" s="9"/>
      <c r="V9" s="9"/>
    </row>
    <row r="10" spans="1:22" ht="20">
      <c r="A10" s="15"/>
      <c r="B10" s="86"/>
      <c r="C10" s="16"/>
      <c r="D10" s="8"/>
      <c r="E10" s="4"/>
      <c r="F10" s="4"/>
      <c r="G10" s="4"/>
      <c r="H10" s="4"/>
      <c r="I10" s="3"/>
      <c r="L10" s="4"/>
      <c r="R10" s="9"/>
      <c r="S10" s="9"/>
      <c r="T10" s="9"/>
      <c r="U10" s="9"/>
      <c r="V10" s="9"/>
    </row>
    <row r="11" spans="1:22" s="56" customFormat="1" ht="22.9" customHeight="1">
      <c r="A11" s="55" t="s">
        <v>132</v>
      </c>
      <c r="B11" s="87"/>
      <c r="C11" s="83">
        <v>2026</v>
      </c>
      <c r="E11" s="57"/>
      <c r="F11" s="57"/>
      <c r="G11" s="57"/>
      <c r="H11" s="57"/>
      <c r="J11" s="92"/>
      <c r="N11" s="58"/>
      <c r="O11" s="58"/>
      <c r="P11" s="58"/>
      <c r="Q11" s="58"/>
      <c r="R11" s="58"/>
    </row>
    <row r="12" spans="1:22" s="56" customFormat="1" ht="36" customHeight="1">
      <c r="A12" s="59" t="s">
        <v>21</v>
      </c>
      <c r="B12" s="88"/>
      <c r="C12" s="82" t="s">
        <v>131</v>
      </c>
      <c r="D12" s="8"/>
      <c r="E12" s="57"/>
      <c r="F12" s="57"/>
      <c r="G12" s="57"/>
      <c r="H12" s="57"/>
      <c r="J12" s="92"/>
      <c r="N12" s="58"/>
      <c r="O12" s="58"/>
      <c r="P12" s="58"/>
      <c r="Q12" s="58"/>
      <c r="R12" s="58"/>
    </row>
    <row r="13" spans="1:22" s="56" customFormat="1" ht="26.5" customHeight="1">
      <c r="A13" s="61"/>
      <c r="B13" s="69"/>
      <c r="C13" s="60"/>
      <c r="D13" s="8"/>
      <c r="E13" s="57"/>
      <c r="F13" s="57"/>
      <c r="G13" s="57"/>
      <c r="H13" s="57"/>
      <c r="J13" s="92"/>
      <c r="N13" s="58"/>
      <c r="O13" s="58"/>
      <c r="P13" s="58"/>
      <c r="Q13" s="58"/>
      <c r="R13" s="58"/>
    </row>
    <row r="14" spans="1:22" s="56" customFormat="1" ht="9.75" customHeight="1">
      <c r="A14" s="62"/>
      <c r="B14" s="63"/>
      <c r="C14" s="62"/>
      <c r="D14" s="62"/>
      <c r="E14" s="62"/>
      <c r="F14" s="62"/>
      <c r="G14" s="62"/>
      <c r="H14" s="62"/>
      <c r="I14" s="62"/>
      <c r="J14" s="93"/>
      <c r="K14" s="63"/>
      <c r="L14" s="62"/>
      <c r="M14" s="58"/>
      <c r="N14" s="58"/>
      <c r="O14" s="58"/>
      <c r="P14" s="58"/>
      <c r="Q14" s="58"/>
      <c r="R14" s="58"/>
      <c r="S14" s="58"/>
      <c r="T14" s="58"/>
      <c r="U14" s="58"/>
      <c r="V14" s="58"/>
    </row>
    <row r="15" spans="1:22" s="65" customFormat="1" ht="41.25" customHeight="1">
      <c r="A15" s="130" t="s">
        <v>22</v>
      </c>
      <c r="B15" s="130"/>
      <c r="C15" s="130"/>
      <c r="D15" s="130"/>
      <c r="E15" s="130"/>
      <c r="F15" s="131" t="s">
        <v>23</v>
      </c>
      <c r="G15" s="131"/>
      <c r="H15" s="131"/>
      <c r="I15" s="130" t="s">
        <v>24</v>
      </c>
      <c r="J15" s="130"/>
      <c r="K15" s="131" t="s">
        <v>25</v>
      </c>
      <c r="L15" s="131" t="s">
        <v>26</v>
      </c>
      <c r="M15" s="62"/>
      <c r="N15" s="62"/>
      <c r="O15" s="62"/>
      <c r="P15" s="62"/>
      <c r="Q15" s="62"/>
      <c r="R15" s="62"/>
      <c r="S15" s="62"/>
      <c r="T15" s="62"/>
      <c r="U15" s="62"/>
      <c r="V15" s="62"/>
    </row>
    <row r="16" spans="1:22" s="65" customFormat="1" ht="137.25" customHeight="1">
      <c r="A16" s="64" t="s">
        <v>27</v>
      </c>
      <c r="B16" s="66" t="s">
        <v>28</v>
      </c>
      <c r="C16" s="67" t="s">
        <v>29</v>
      </c>
      <c r="D16" s="64" t="s">
        <v>30</v>
      </c>
      <c r="E16" s="68" t="s">
        <v>48</v>
      </c>
      <c r="F16" s="68" t="s">
        <v>31</v>
      </c>
      <c r="G16" s="68" t="s">
        <v>32</v>
      </c>
      <c r="H16" s="68" t="s">
        <v>33</v>
      </c>
      <c r="I16" s="64" t="s">
        <v>34</v>
      </c>
      <c r="J16" s="94" t="s">
        <v>35</v>
      </c>
      <c r="K16" s="131"/>
      <c r="L16" s="131"/>
      <c r="M16" s="69"/>
      <c r="N16" s="69"/>
      <c r="O16" s="69"/>
      <c r="P16" s="69"/>
      <c r="Q16" s="69"/>
      <c r="R16" s="69"/>
      <c r="S16" s="69"/>
    </row>
    <row r="17" spans="1:19" s="65" customFormat="1" ht="23.25" customHeight="1">
      <c r="A17" s="70" t="s">
        <v>0</v>
      </c>
      <c r="B17" s="70" t="s">
        <v>1</v>
      </c>
      <c r="C17" s="70" t="s">
        <v>2</v>
      </c>
      <c r="D17" s="70" t="s">
        <v>3</v>
      </c>
      <c r="E17" s="70" t="s">
        <v>4</v>
      </c>
      <c r="F17" s="70" t="s">
        <v>5</v>
      </c>
      <c r="G17" s="70" t="s">
        <v>6</v>
      </c>
      <c r="H17" s="70" t="s">
        <v>7</v>
      </c>
      <c r="I17" s="70" t="s">
        <v>8</v>
      </c>
      <c r="J17" s="95" t="s">
        <v>9</v>
      </c>
      <c r="K17" s="70" t="s">
        <v>10</v>
      </c>
      <c r="L17" s="70" t="s">
        <v>11</v>
      </c>
      <c r="M17" s="69"/>
      <c r="N17" s="69"/>
      <c r="O17" s="69"/>
      <c r="P17" s="69"/>
      <c r="Q17" s="69"/>
      <c r="R17" s="69"/>
      <c r="S17" s="69"/>
    </row>
    <row r="18" spans="1:19" s="75" customFormat="1" ht="351" hidden="1" customHeight="1">
      <c r="A18" s="71" t="s">
        <v>36</v>
      </c>
      <c r="B18" s="73"/>
      <c r="C18" s="72" t="s">
        <v>37</v>
      </c>
      <c r="D18" s="72" t="s">
        <v>38</v>
      </c>
      <c r="E18" s="72" t="s">
        <v>39</v>
      </c>
      <c r="F18" s="72" t="s">
        <v>40</v>
      </c>
      <c r="G18" s="72" t="s">
        <v>41</v>
      </c>
      <c r="H18" s="72" t="s">
        <v>42</v>
      </c>
      <c r="I18" s="72" t="s">
        <v>43</v>
      </c>
      <c r="J18" s="96" t="s">
        <v>44</v>
      </c>
      <c r="K18" s="72"/>
      <c r="L18" s="73" t="s">
        <v>49</v>
      </c>
      <c r="M18" s="74"/>
      <c r="N18" s="74"/>
      <c r="O18" s="74"/>
      <c r="P18" s="74"/>
      <c r="Q18" s="74"/>
      <c r="R18" s="74"/>
      <c r="S18" s="74"/>
    </row>
    <row r="19" spans="1:19" s="75" customFormat="1" ht="20.5">
      <c r="A19" s="108" t="s">
        <v>155</v>
      </c>
      <c r="B19" s="73"/>
      <c r="C19" s="72"/>
      <c r="D19" s="72"/>
      <c r="E19" s="72"/>
      <c r="F19" s="72"/>
      <c r="G19" s="72"/>
      <c r="H19" s="72"/>
      <c r="I19" s="72"/>
      <c r="J19" s="96"/>
      <c r="K19" s="72"/>
      <c r="L19" s="73"/>
      <c r="M19" s="74"/>
      <c r="N19" s="74"/>
      <c r="O19" s="74"/>
      <c r="P19" s="74"/>
      <c r="Q19" s="74"/>
      <c r="R19" s="74"/>
      <c r="S19" s="74"/>
    </row>
    <row r="20" spans="1:19" s="75" customFormat="1" ht="20.5">
      <c r="A20" s="116" t="s">
        <v>133</v>
      </c>
      <c r="B20" s="76"/>
      <c r="C20" s="72"/>
      <c r="D20" s="77"/>
      <c r="E20" s="77"/>
      <c r="F20" s="78"/>
      <c r="G20" s="78"/>
      <c r="H20" s="77"/>
      <c r="I20" s="77"/>
      <c r="J20" s="97">
        <f>SUM(J21:J28)</f>
        <v>110000</v>
      </c>
      <c r="K20" s="77"/>
      <c r="L20" s="76"/>
      <c r="M20" s="74"/>
      <c r="N20" s="74"/>
      <c r="O20" s="74"/>
      <c r="P20" s="74"/>
      <c r="Q20" s="74"/>
      <c r="R20" s="74"/>
      <c r="S20" s="74"/>
    </row>
    <row r="21" spans="1:19" s="75" customFormat="1" ht="62">
      <c r="A21" s="109" t="s">
        <v>145</v>
      </c>
      <c r="B21" s="85" t="s">
        <v>12</v>
      </c>
      <c r="C21" s="84" t="s">
        <v>215</v>
      </c>
      <c r="D21" s="84" t="s">
        <v>13</v>
      </c>
      <c r="E21" s="84" t="s">
        <v>15</v>
      </c>
      <c r="F21" s="114" t="s">
        <v>180</v>
      </c>
      <c r="G21" s="115" t="s">
        <v>178</v>
      </c>
      <c r="H21" s="114" t="s">
        <v>181</v>
      </c>
      <c r="I21" s="84" t="s">
        <v>103</v>
      </c>
      <c r="J21" s="122">
        <f>20*687.5</f>
        <v>13750</v>
      </c>
      <c r="K21" s="84"/>
      <c r="L21" s="85"/>
      <c r="M21" s="74"/>
      <c r="N21" s="74"/>
      <c r="O21" s="74"/>
      <c r="P21" s="74"/>
      <c r="Q21" s="74"/>
      <c r="R21" s="74"/>
      <c r="S21" s="74"/>
    </row>
    <row r="22" spans="1:19" s="75" customFormat="1" ht="62">
      <c r="A22" s="109" t="s">
        <v>146</v>
      </c>
      <c r="B22" s="85" t="s">
        <v>12</v>
      </c>
      <c r="C22" s="84" t="s">
        <v>215</v>
      </c>
      <c r="D22" s="84" t="s">
        <v>13</v>
      </c>
      <c r="E22" s="84" t="s">
        <v>15</v>
      </c>
      <c r="F22" s="114" t="s">
        <v>180</v>
      </c>
      <c r="G22" s="115" t="s">
        <v>178</v>
      </c>
      <c r="H22" s="114" t="s">
        <v>181</v>
      </c>
      <c r="I22" s="84" t="s">
        <v>103</v>
      </c>
      <c r="J22" s="122">
        <f t="shared" ref="J22:J28" si="0">20*687.5</f>
        <v>13750</v>
      </c>
      <c r="K22" s="84"/>
      <c r="L22" s="85"/>
      <c r="M22" s="74"/>
      <c r="N22" s="74"/>
      <c r="O22" s="74"/>
      <c r="P22" s="74"/>
      <c r="Q22" s="74"/>
      <c r="R22" s="74"/>
      <c r="S22" s="74"/>
    </row>
    <row r="23" spans="1:19" s="75" customFormat="1" ht="62">
      <c r="A23" s="109" t="s">
        <v>147</v>
      </c>
      <c r="B23" s="85" t="s">
        <v>12</v>
      </c>
      <c r="C23" s="84" t="s">
        <v>215</v>
      </c>
      <c r="D23" s="84" t="s">
        <v>13</v>
      </c>
      <c r="E23" s="84" t="s">
        <v>15</v>
      </c>
      <c r="F23" s="114" t="s">
        <v>180</v>
      </c>
      <c r="G23" s="115" t="s">
        <v>178</v>
      </c>
      <c r="H23" s="114" t="s">
        <v>181</v>
      </c>
      <c r="I23" s="84" t="s">
        <v>103</v>
      </c>
      <c r="J23" s="122">
        <f t="shared" si="0"/>
        <v>13750</v>
      </c>
      <c r="K23" s="84"/>
      <c r="L23" s="85"/>
      <c r="M23" s="74"/>
      <c r="N23" s="74"/>
      <c r="O23" s="74"/>
      <c r="P23" s="74"/>
      <c r="Q23" s="74"/>
      <c r="R23" s="74"/>
      <c r="S23" s="74"/>
    </row>
    <row r="24" spans="1:19" s="75" customFormat="1" ht="61.15" customHeight="1">
      <c r="A24" s="109" t="s">
        <v>148</v>
      </c>
      <c r="B24" s="85" t="s">
        <v>12</v>
      </c>
      <c r="C24" s="84" t="s">
        <v>215</v>
      </c>
      <c r="D24" s="84" t="s">
        <v>13</v>
      </c>
      <c r="E24" s="84" t="s">
        <v>15</v>
      </c>
      <c r="F24" s="114" t="s">
        <v>180</v>
      </c>
      <c r="G24" s="115" t="s">
        <v>178</v>
      </c>
      <c r="H24" s="114" t="s">
        <v>181</v>
      </c>
      <c r="I24" s="84" t="s">
        <v>103</v>
      </c>
      <c r="J24" s="122">
        <f t="shared" si="0"/>
        <v>13750</v>
      </c>
      <c r="K24" s="84"/>
      <c r="L24" s="85"/>
      <c r="M24" s="74"/>
      <c r="N24" s="74"/>
      <c r="O24" s="74"/>
      <c r="P24" s="74"/>
      <c r="Q24" s="74"/>
      <c r="R24" s="74"/>
      <c r="S24" s="74"/>
    </row>
    <row r="25" spans="1:19" s="75" customFormat="1" ht="62">
      <c r="A25" s="109" t="s">
        <v>149</v>
      </c>
      <c r="B25" s="85" t="s">
        <v>12</v>
      </c>
      <c r="C25" s="84" t="s">
        <v>215</v>
      </c>
      <c r="D25" s="84" t="s">
        <v>13</v>
      </c>
      <c r="E25" s="84" t="s">
        <v>15</v>
      </c>
      <c r="F25" s="114" t="s">
        <v>180</v>
      </c>
      <c r="G25" s="115" t="s">
        <v>178</v>
      </c>
      <c r="H25" s="114" t="s">
        <v>181</v>
      </c>
      <c r="I25" s="84" t="s">
        <v>103</v>
      </c>
      <c r="J25" s="122">
        <f t="shared" si="0"/>
        <v>13750</v>
      </c>
      <c r="K25" s="84"/>
      <c r="L25" s="85"/>
      <c r="M25" s="74"/>
      <c r="N25" s="74"/>
      <c r="O25" s="74"/>
      <c r="P25" s="74"/>
      <c r="Q25" s="74"/>
      <c r="R25" s="74"/>
      <c r="S25" s="74"/>
    </row>
    <row r="26" spans="1:19" s="75" customFormat="1" ht="62">
      <c r="A26" s="109" t="s">
        <v>150</v>
      </c>
      <c r="B26" s="85" t="s">
        <v>12</v>
      </c>
      <c r="C26" s="84" t="s">
        <v>215</v>
      </c>
      <c r="D26" s="84" t="s">
        <v>13</v>
      </c>
      <c r="E26" s="84" t="s">
        <v>15</v>
      </c>
      <c r="F26" s="114" t="s">
        <v>180</v>
      </c>
      <c r="G26" s="115" t="s">
        <v>178</v>
      </c>
      <c r="H26" s="114" t="s">
        <v>181</v>
      </c>
      <c r="I26" s="84" t="s">
        <v>103</v>
      </c>
      <c r="J26" s="122">
        <f t="shared" si="0"/>
        <v>13750</v>
      </c>
      <c r="K26" s="84"/>
      <c r="L26" s="85"/>
      <c r="M26" s="74"/>
      <c r="N26" s="74"/>
      <c r="O26" s="74"/>
      <c r="P26" s="74"/>
      <c r="Q26" s="74"/>
      <c r="R26" s="74"/>
      <c r="S26" s="74"/>
    </row>
    <row r="27" spans="1:19" s="75" customFormat="1" ht="62">
      <c r="A27" s="109" t="s">
        <v>151</v>
      </c>
      <c r="B27" s="85" t="s">
        <v>12</v>
      </c>
      <c r="C27" s="84" t="s">
        <v>215</v>
      </c>
      <c r="D27" s="84" t="s">
        <v>13</v>
      </c>
      <c r="E27" s="84" t="s">
        <v>15</v>
      </c>
      <c r="F27" s="114" t="s">
        <v>180</v>
      </c>
      <c r="G27" s="115" t="s">
        <v>178</v>
      </c>
      <c r="H27" s="114" t="s">
        <v>181</v>
      </c>
      <c r="I27" s="84" t="s">
        <v>103</v>
      </c>
      <c r="J27" s="122">
        <f t="shared" si="0"/>
        <v>13750</v>
      </c>
      <c r="K27" s="84"/>
      <c r="L27" s="85"/>
      <c r="M27" s="74"/>
      <c r="N27" s="74"/>
      <c r="O27" s="74"/>
      <c r="P27" s="74"/>
      <c r="Q27" s="74"/>
      <c r="R27" s="74"/>
      <c r="S27" s="74"/>
    </row>
    <row r="28" spans="1:19" s="75" customFormat="1" ht="62">
      <c r="A28" s="109" t="s">
        <v>152</v>
      </c>
      <c r="B28" s="85" t="s">
        <v>12</v>
      </c>
      <c r="C28" s="84" t="s">
        <v>215</v>
      </c>
      <c r="D28" s="84" t="s">
        <v>13</v>
      </c>
      <c r="E28" s="84" t="s">
        <v>15</v>
      </c>
      <c r="F28" s="114" t="s">
        <v>180</v>
      </c>
      <c r="G28" s="115" t="s">
        <v>178</v>
      </c>
      <c r="H28" s="114" t="s">
        <v>181</v>
      </c>
      <c r="I28" s="84" t="s">
        <v>103</v>
      </c>
      <c r="J28" s="122">
        <f t="shared" si="0"/>
        <v>13750</v>
      </c>
      <c r="K28" s="84"/>
      <c r="L28" s="85"/>
      <c r="M28" s="74"/>
      <c r="N28" s="74"/>
      <c r="O28" s="74"/>
      <c r="P28" s="74"/>
      <c r="Q28" s="74"/>
      <c r="R28" s="74"/>
      <c r="S28" s="74"/>
    </row>
    <row r="29" spans="1:19" s="75" customFormat="1" ht="20">
      <c r="A29" s="116" t="s">
        <v>134</v>
      </c>
      <c r="B29" s="85"/>
      <c r="C29" s="84"/>
      <c r="D29" s="84"/>
      <c r="E29" s="84"/>
      <c r="F29" s="84"/>
      <c r="G29" s="84"/>
      <c r="H29" s="84"/>
      <c r="I29" s="84"/>
      <c r="J29" s="98">
        <f>SUM(J30:J46)</f>
        <v>50000</v>
      </c>
      <c r="K29" s="84"/>
      <c r="L29" s="85"/>
      <c r="M29" s="74"/>
      <c r="N29" s="74"/>
      <c r="O29" s="74"/>
      <c r="P29" s="74"/>
      <c r="Q29" s="74"/>
      <c r="R29" s="74"/>
      <c r="S29" s="74"/>
    </row>
    <row r="30" spans="1:19" s="75" customFormat="1" ht="77.5">
      <c r="A30" s="110" t="s">
        <v>153</v>
      </c>
      <c r="B30" s="85" t="s">
        <v>12</v>
      </c>
      <c r="C30" s="84" t="s">
        <v>185</v>
      </c>
      <c r="D30" s="84" t="s">
        <v>13</v>
      </c>
      <c r="E30" s="84" t="s">
        <v>15</v>
      </c>
      <c r="F30" s="114" t="s">
        <v>180</v>
      </c>
      <c r="G30" s="115" t="s">
        <v>178</v>
      </c>
      <c r="H30" s="114" t="s">
        <v>181</v>
      </c>
      <c r="I30" s="84" t="s">
        <v>103</v>
      </c>
      <c r="J30" s="122">
        <f>50*280</f>
        <v>14000</v>
      </c>
      <c r="K30" s="98"/>
      <c r="L30" s="85"/>
      <c r="M30" s="74"/>
      <c r="N30" s="74"/>
      <c r="O30" s="74"/>
      <c r="P30" s="74"/>
      <c r="Q30" s="74"/>
      <c r="R30" s="74"/>
      <c r="S30" s="74"/>
    </row>
    <row r="31" spans="1:19" s="75" customFormat="1" ht="77.5">
      <c r="A31" s="110" t="s">
        <v>154</v>
      </c>
      <c r="B31" s="85" t="s">
        <v>12</v>
      </c>
      <c r="C31" s="84" t="s">
        <v>186</v>
      </c>
      <c r="D31" s="84" t="s">
        <v>13</v>
      </c>
      <c r="E31" s="84" t="s">
        <v>15</v>
      </c>
      <c r="F31" s="114" t="s">
        <v>180</v>
      </c>
      <c r="G31" s="115" t="s">
        <v>178</v>
      </c>
      <c r="H31" s="114" t="s">
        <v>181</v>
      </c>
      <c r="I31" s="84" t="s">
        <v>103</v>
      </c>
      <c r="J31" s="122">
        <f>50*286</f>
        <v>14300</v>
      </c>
      <c r="K31" s="98"/>
      <c r="L31" s="85"/>
      <c r="M31" s="74"/>
      <c r="N31" s="74"/>
      <c r="O31" s="74"/>
      <c r="P31" s="74"/>
      <c r="Q31" s="74"/>
      <c r="R31" s="74"/>
      <c r="S31" s="74"/>
    </row>
    <row r="32" spans="1:19" s="75" customFormat="1" ht="77.5">
      <c r="A32" s="110" t="s">
        <v>187</v>
      </c>
      <c r="B32" s="85" t="s">
        <v>12</v>
      </c>
      <c r="C32" s="84" t="s">
        <v>188</v>
      </c>
      <c r="D32" s="84" t="s">
        <v>13</v>
      </c>
      <c r="E32" s="84" t="s">
        <v>15</v>
      </c>
      <c r="F32" s="114" t="s">
        <v>180</v>
      </c>
      <c r="G32" s="115" t="s">
        <v>178</v>
      </c>
      <c r="H32" s="114" t="s">
        <v>181</v>
      </c>
      <c r="I32" s="84" t="s">
        <v>103</v>
      </c>
      <c r="J32" s="122">
        <f>15*220</f>
        <v>3300</v>
      </c>
      <c r="K32" s="84"/>
      <c r="L32" s="85"/>
      <c r="M32" s="74"/>
      <c r="N32" s="74"/>
      <c r="O32" s="74"/>
      <c r="P32" s="74"/>
      <c r="Q32" s="74"/>
      <c r="R32" s="74"/>
      <c r="S32" s="74"/>
    </row>
    <row r="33" spans="1:19" s="75" customFormat="1" ht="31">
      <c r="A33" s="143" t="s">
        <v>189</v>
      </c>
      <c r="B33" s="85" t="s">
        <v>12</v>
      </c>
      <c r="C33" s="84" t="s">
        <v>190</v>
      </c>
      <c r="D33" s="84" t="s">
        <v>13</v>
      </c>
      <c r="E33" s="84" t="s">
        <v>15</v>
      </c>
      <c r="F33" s="114" t="s">
        <v>180</v>
      </c>
      <c r="G33" s="115" t="s">
        <v>178</v>
      </c>
      <c r="H33" s="114" t="s">
        <v>181</v>
      </c>
      <c r="I33" s="84" t="s">
        <v>103</v>
      </c>
      <c r="J33" s="122">
        <f>20*96</f>
        <v>1920</v>
      </c>
      <c r="K33" s="84"/>
      <c r="L33" s="85"/>
      <c r="M33" s="74"/>
      <c r="N33" s="74"/>
      <c r="O33" s="74"/>
      <c r="P33" s="74"/>
      <c r="Q33" s="74"/>
      <c r="R33" s="74"/>
      <c r="S33" s="74"/>
    </row>
    <row r="34" spans="1:19" s="75" customFormat="1" ht="31">
      <c r="A34" s="110" t="s">
        <v>191</v>
      </c>
      <c r="B34" s="85" t="s">
        <v>12</v>
      </c>
      <c r="C34" s="84" t="s">
        <v>194</v>
      </c>
      <c r="D34" s="84" t="s">
        <v>13</v>
      </c>
      <c r="E34" s="84" t="s">
        <v>15</v>
      </c>
      <c r="F34" s="114" t="s">
        <v>180</v>
      </c>
      <c r="G34" s="115" t="s">
        <v>178</v>
      </c>
      <c r="H34" s="114" t="s">
        <v>181</v>
      </c>
      <c r="I34" s="84" t="s">
        <v>103</v>
      </c>
      <c r="J34" s="122">
        <f>30*44</f>
        <v>1320</v>
      </c>
      <c r="K34" s="84"/>
      <c r="L34" s="85"/>
      <c r="M34" s="74"/>
      <c r="N34" s="74"/>
      <c r="O34" s="74"/>
      <c r="P34" s="74"/>
      <c r="Q34" s="74"/>
      <c r="R34" s="74"/>
      <c r="S34" s="74"/>
    </row>
    <row r="35" spans="1:19" s="75" customFormat="1" ht="31">
      <c r="A35" s="110" t="s">
        <v>192</v>
      </c>
      <c r="B35" s="85" t="s">
        <v>12</v>
      </c>
      <c r="C35" s="84" t="s">
        <v>194</v>
      </c>
      <c r="D35" s="84" t="s">
        <v>13</v>
      </c>
      <c r="E35" s="84" t="s">
        <v>15</v>
      </c>
      <c r="F35" s="114" t="s">
        <v>180</v>
      </c>
      <c r="G35" s="115" t="s">
        <v>178</v>
      </c>
      <c r="H35" s="114" t="s">
        <v>181</v>
      </c>
      <c r="I35" s="84" t="s">
        <v>103</v>
      </c>
      <c r="J35" s="122">
        <f>30*44</f>
        <v>1320</v>
      </c>
      <c r="K35" s="84"/>
      <c r="L35" s="85"/>
      <c r="M35" s="74"/>
      <c r="N35" s="74"/>
      <c r="O35" s="74"/>
      <c r="P35" s="74"/>
      <c r="Q35" s="74"/>
      <c r="R35" s="74"/>
      <c r="S35" s="74"/>
    </row>
    <row r="36" spans="1:19" s="75" customFormat="1" ht="31">
      <c r="A36" s="143" t="s">
        <v>193</v>
      </c>
      <c r="B36" s="85" t="s">
        <v>12</v>
      </c>
      <c r="C36" s="84" t="s">
        <v>194</v>
      </c>
      <c r="D36" s="84" t="s">
        <v>13</v>
      </c>
      <c r="E36" s="84" t="s">
        <v>15</v>
      </c>
      <c r="F36" s="114" t="s">
        <v>180</v>
      </c>
      <c r="G36" s="115" t="s">
        <v>178</v>
      </c>
      <c r="H36" s="114" t="s">
        <v>181</v>
      </c>
      <c r="I36" s="84" t="s">
        <v>103</v>
      </c>
      <c r="J36" s="122">
        <f>30*44</f>
        <v>1320</v>
      </c>
      <c r="K36" s="84"/>
      <c r="L36" s="85"/>
      <c r="M36" s="74"/>
      <c r="N36" s="74"/>
      <c r="O36" s="74"/>
      <c r="P36" s="74"/>
      <c r="Q36" s="74"/>
      <c r="R36" s="74"/>
      <c r="S36" s="74"/>
    </row>
    <row r="37" spans="1:19" s="75" customFormat="1" ht="31">
      <c r="A37" s="110" t="s">
        <v>195</v>
      </c>
      <c r="B37" s="85" t="s">
        <v>12</v>
      </c>
      <c r="C37" s="84" t="s">
        <v>196</v>
      </c>
      <c r="D37" s="84" t="s">
        <v>13</v>
      </c>
      <c r="E37" s="84" t="s">
        <v>15</v>
      </c>
      <c r="F37" s="114" t="s">
        <v>180</v>
      </c>
      <c r="G37" s="115" t="s">
        <v>178</v>
      </c>
      <c r="H37" s="114" t="s">
        <v>181</v>
      </c>
      <c r="I37" s="84" t="s">
        <v>103</v>
      </c>
      <c r="J37" s="122">
        <f>40*100</f>
        <v>4000</v>
      </c>
      <c r="K37" s="84"/>
      <c r="L37" s="85"/>
      <c r="M37" s="74"/>
      <c r="N37" s="74"/>
      <c r="O37" s="74"/>
      <c r="P37" s="74"/>
      <c r="Q37" s="74"/>
      <c r="R37" s="74"/>
      <c r="S37" s="74"/>
    </row>
    <row r="38" spans="1:19" s="75" customFormat="1" ht="62">
      <c r="A38" s="110" t="s">
        <v>197</v>
      </c>
      <c r="B38" s="85" t="s">
        <v>12</v>
      </c>
      <c r="C38" s="84" t="s">
        <v>198</v>
      </c>
      <c r="D38" s="84" t="s">
        <v>13</v>
      </c>
      <c r="E38" s="84" t="s">
        <v>15</v>
      </c>
      <c r="F38" s="114" t="s">
        <v>180</v>
      </c>
      <c r="G38" s="115" t="s">
        <v>178</v>
      </c>
      <c r="H38" s="114" t="s">
        <v>181</v>
      </c>
      <c r="I38" s="84" t="s">
        <v>103</v>
      </c>
      <c r="J38" s="122">
        <f>20*55</f>
        <v>1100</v>
      </c>
      <c r="K38" s="84"/>
      <c r="L38" s="85"/>
      <c r="M38" s="74"/>
      <c r="N38" s="74"/>
      <c r="O38" s="74"/>
      <c r="P38" s="74"/>
      <c r="Q38" s="74"/>
      <c r="R38" s="74"/>
      <c r="S38" s="74"/>
    </row>
    <row r="39" spans="1:19" s="75" customFormat="1" ht="31">
      <c r="A39" s="110" t="s">
        <v>199</v>
      </c>
      <c r="B39" s="85" t="s">
        <v>12</v>
      </c>
      <c r="C39" s="84" t="s">
        <v>200</v>
      </c>
      <c r="D39" s="84" t="s">
        <v>13</v>
      </c>
      <c r="E39" s="84" t="s">
        <v>15</v>
      </c>
      <c r="F39" s="114" t="s">
        <v>180</v>
      </c>
      <c r="G39" s="115" t="s">
        <v>178</v>
      </c>
      <c r="H39" s="114" t="s">
        <v>181</v>
      </c>
      <c r="I39" s="84" t="s">
        <v>103</v>
      </c>
      <c r="J39" s="122">
        <f>9*275</f>
        <v>2475</v>
      </c>
      <c r="K39" s="84"/>
      <c r="L39" s="85"/>
      <c r="M39" s="74"/>
      <c r="N39" s="74"/>
      <c r="O39" s="74"/>
      <c r="P39" s="74"/>
      <c r="Q39" s="74"/>
      <c r="R39" s="74"/>
      <c r="S39" s="74"/>
    </row>
    <row r="40" spans="1:19" s="75" customFormat="1" ht="31">
      <c r="A40" s="110" t="s">
        <v>201</v>
      </c>
      <c r="B40" s="85" t="s">
        <v>12</v>
      </c>
      <c r="C40" s="84" t="s">
        <v>202</v>
      </c>
      <c r="D40" s="84" t="s">
        <v>13</v>
      </c>
      <c r="E40" s="84" t="s">
        <v>15</v>
      </c>
      <c r="F40" s="114" t="s">
        <v>180</v>
      </c>
      <c r="G40" s="115" t="s">
        <v>178</v>
      </c>
      <c r="H40" s="114" t="s">
        <v>181</v>
      </c>
      <c r="I40" s="84" t="s">
        <v>103</v>
      </c>
      <c r="J40" s="122">
        <f>20*55</f>
        <v>1100</v>
      </c>
      <c r="K40" s="84"/>
      <c r="L40" s="85"/>
      <c r="M40" s="74"/>
      <c r="N40" s="74"/>
      <c r="O40" s="74"/>
      <c r="P40" s="74"/>
      <c r="Q40" s="74"/>
      <c r="R40" s="74"/>
      <c r="S40" s="74"/>
    </row>
    <row r="41" spans="1:19" s="75" customFormat="1" ht="31">
      <c r="A41" s="143" t="s">
        <v>203</v>
      </c>
      <c r="B41" s="85" t="s">
        <v>12</v>
      </c>
      <c r="C41" s="84" t="s">
        <v>204</v>
      </c>
      <c r="D41" s="84" t="s">
        <v>13</v>
      </c>
      <c r="E41" s="84" t="s">
        <v>15</v>
      </c>
      <c r="F41" s="114" t="s">
        <v>180</v>
      </c>
      <c r="G41" s="115" t="s">
        <v>178</v>
      </c>
      <c r="H41" s="114" t="s">
        <v>181</v>
      </c>
      <c r="I41" s="84" t="s">
        <v>103</v>
      </c>
      <c r="J41" s="122">
        <f>20*60.5</f>
        <v>1210</v>
      </c>
      <c r="K41" s="84"/>
      <c r="L41" s="85"/>
      <c r="M41" s="74"/>
      <c r="N41" s="74"/>
      <c r="O41" s="74"/>
      <c r="P41" s="74"/>
      <c r="Q41" s="74"/>
      <c r="R41" s="74"/>
      <c r="S41" s="74"/>
    </row>
    <row r="42" spans="1:19" s="75" customFormat="1" ht="31">
      <c r="A42" s="110" t="s">
        <v>206</v>
      </c>
      <c r="B42" s="85" t="s">
        <v>12</v>
      </c>
      <c r="C42" s="84" t="s">
        <v>207</v>
      </c>
      <c r="D42" s="84" t="s">
        <v>13</v>
      </c>
      <c r="E42" s="84" t="s">
        <v>15</v>
      </c>
      <c r="F42" s="114" t="s">
        <v>180</v>
      </c>
      <c r="G42" s="115" t="s">
        <v>178</v>
      </c>
      <c r="H42" s="114" t="s">
        <v>181</v>
      </c>
      <c r="I42" s="84" t="s">
        <v>103</v>
      </c>
      <c r="J42" s="122">
        <f>5*148.5</f>
        <v>742.5</v>
      </c>
      <c r="K42" s="84"/>
      <c r="L42" s="85"/>
      <c r="M42" s="74"/>
      <c r="N42" s="74"/>
      <c r="O42" s="74"/>
      <c r="P42" s="74"/>
      <c r="Q42" s="74"/>
      <c r="R42" s="74"/>
      <c r="S42" s="74"/>
    </row>
    <row r="43" spans="1:19" s="75" customFormat="1" ht="46.5">
      <c r="A43" s="110" t="s">
        <v>208</v>
      </c>
      <c r="B43" s="85" t="s">
        <v>12</v>
      </c>
      <c r="C43" s="84" t="s">
        <v>209</v>
      </c>
      <c r="D43" s="84" t="s">
        <v>13</v>
      </c>
      <c r="E43" s="84" t="s">
        <v>15</v>
      </c>
      <c r="F43" s="114" t="s">
        <v>180</v>
      </c>
      <c r="G43" s="115" t="s">
        <v>178</v>
      </c>
      <c r="H43" s="114" t="s">
        <v>181</v>
      </c>
      <c r="I43" s="84" t="s">
        <v>103</v>
      </c>
      <c r="J43" s="122">
        <v>1320</v>
      </c>
      <c r="K43" s="84"/>
      <c r="L43" s="85"/>
      <c r="M43" s="74"/>
      <c r="N43" s="74"/>
      <c r="O43" s="74"/>
      <c r="P43" s="74"/>
      <c r="Q43" s="74"/>
      <c r="R43" s="74"/>
      <c r="S43" s="74"/>
    </row>
    <row r="44" spans="1:19" s="75" customFormat="1" ht="31">
      <c r="A44" s="110" t="s">
        <v>210</v>
      </c>
      <c r="B44" s="85" t="s">
        <v>12</v>
      </c>
      <c r="C44" s="84" t="s">
        <v>212</v>
      </c>
      <c r="D44" s="84" t="s">
        <v>13</v>
      </c>
      <c r="E44" s="84" t="s">
        <v>15</v>
      </c>
      <c r="F44" s="114" t="s">
        <v>180</v>
      </c>
      <c r="G44" s="115" t="s">
        <v>178</v>
      </c>
      <c r="H44" s="114" t="s">
        <v>181</v>
      </c>
      <c r="I44" s="84" t="s">
        <v>103</v>
      </c>
      <c r="J44" s="122">
        <f>49.5*5</f>
        <v>247.5</v>
      </c>
      <c r="K44" s="84"/>
      <c r="L44" s="85"/>
      <c r="M44" s="74"/>
      <c r="N44" s="74"/>
      <c r="O44" s="74"/>
      <c r="P44" s="74"/>
      <c r="Q44" s="74"/>
      <c r="R44" s="74"/>
      <c r="S44" s="74"/>
    </row>
    <row r="45" spans="1:19" s="75" customFormat="1" ht="31">
      <c r="A45" s="110" t="s">
        <v>211</v>
      </c>
      <c r="B45" s="85" t="s">
        <v>12</v>
      </c>
      <c r="C45" s="84" t="s">
        <v>213</v>
      </c>
      <c r="D45" s="84" t="s">
        <v>13</v>
      </c>
      <c r="E45" s="84" t="s">
        <v>15</v>
      </c>
      <c r="F45" s="114" t="s">
        <v>180</v>
      </c>
      <c r="G45" s="115" t="s">
        <v>178</v>
      </c>
      <c r="H45" s="114" t="s">
        <v>181</v>
      </c>
      <c r="I45" s="84" t="s">
        <v>103</v>
      </c>
      <c r="J45" s="122">
        <f>16.5*6</f>
        <v>99</v>
      </c>
      <c r="K45" s="84"/>
      <c r="L45" s="85"/>
      <c r="M45" s="74"/>
      <c r="N45" s="74"/>
      <c r="O45" s="74"/>
      <c r="P45" s="74"/>
      <c r="Q45" s="74"/>
      <c r="R45" s="74"/>
      <c r="S45" s="74"/>
    </row>
    <row r="46" spans="1:19" s="75" customFormat="1" ht="124">
      <c r="A46" s="110" t="s">
        <v>216</v>
      </c>
      <c r="B46" s="85" t="s">
        <v>12</v>
      </c>
      <c r="C46" s="84" t="s">
        <v>214</v>
      </c>
      <c r="D46" s="84" t="s">
        <v>13</v>
      </c>
      <c r="E46" s="84" t="s">
        <v>15</v>
      </c>
      <c r="F46" s="114" t="s">
        <v>180</v>
      </c>
      <c r="G46" s="115" t="s">
        <v>178</v>
      </c>
      <c r="H46" s="114" t="s">
        <v>181</v>
      </c>
      <c r="I46" s="84" t="s">
        <v>103</v>
      </c>
      <c r="J46" s="122">
        <f>113*2</f>
        <v>226</v>
      </c>
      <c r="K46" s="98"/>
      <c r="L46" s="85"/>
      <c r="M46" s="74"/>
      <c r="N46" s="74"/>
      <c r="O46" s="74"/>
      <c r="P46" s="74"/>
      <c r="Q46" s="74"/>
      <c r="R46" s="74"/>
      <c r="S46" s="74"/>
    </row>
    <row r="47" spans="1:19" s="75" customFormat="1" ht="20">
      <c r="A47" s="116" t="s">
        <v>135</v>
      </c>
      <c r="B47" s="85"/>
      <c r="C47" s="84"/>
      <c r="D47" s="84"/>
      <c r="E47" s="84"/>
      <c r="F47" s="84"/>
      <c r="G47" s="84"/>
      <c r="H47" s="84"/>
      <c r="I47" s="84"/>
      <c r="J47" s="98">
        <f>SUM(J48:J51)</f>
        <v>50000</v>
      </c>
      <c r="K47" s="84"/>
      <c r="L47" s="85"/>
      <c r="M47" s="74"/>
      <c r="N47" s="74"/>
      <c r="O47" s="74"/>
      <c r="P47" s="74"/>
      <c r="Q47" s="74"/>
      <c r="R47" s="74"/>
      <c r="S47" s="74"/>
    </row>
    <row r="48" spans="1:19" s="75" customFormat="1" ht="31">
      <c r="A48" s="110" t="s">
        <v>219</v>
      </c>
      <c r="B48" s="85" t="s">
        <v>12</v>
      </c>
      <c r="C48" s="84" t="s">
        <v>220</v>
      </c>
      <c r="D48" s="84" t="s">
        <v>13</v>
      </c>
      <c r="E48" s="84" t="s">
        <v>15</v>
      </c>
      <c r="F48" s="114" t="s">
        <v>180</v>
      </c>
      <c r="G48" s="115" t="s">
        <v>178</v>
      </c>
      <c r="H48" s="114" t="s">
        <v>181</v>
      </c>
      <c r="I48" s="84" t="s">
        <v>103</v>
      </c>
      <c r="J48" s="122">
        <f>220*2</f>
        <v>440</v>
      </c>
      <c r="K48" s="98"/>
      <c r="L48" s="85"/>
      <c r="M48" s="74"/>
      <c r="N48" s="74"/>
      <c r="O48" s="74"/>
      <c r="P48" s="74"/>
      <c r="Q48" s="74"/>
      <c r="R48" s="74"/>
      <c r="S48" s="74"/>
    </row>
    <row r="49" spans="1:19" s="75" customFormat="1" ht="139.5">
      <c r="A49" s="110" t="s">
        <v>217</v>
      </c>
      <c r="B49" s="85" t="s">
        <v>12</v>
      </c>
      <c r="C49" s="84" t="s">
        <v>218</v>
      </c>
      <c r="D49" s="84" t="s">
        <v>13</v>
      </c>
      <c r="E49" s="84" t="s">
        <v>15</v>
      </c>
      <c r="F49" s="114" t="s">
        <v>183</v>
      </c>
      <c r="G49" s="115" t="s">
        <v>184</v>
      </c>
      <c r="H49" s="114" t="s">
        <v>175</v>
      </c>
      <c r="I49" s="84" t="s">
        <v>103</v>
      </c>
      <c r="J49" s="122">
        <v>16000</v>
      </c>
      <c r="K49" s="84"/>
      <c r="L49" s="85"/>
      <c r="M49" s="74"/>
      <c r="N49" s="74"/>
      <c r="O49" s="74"/>
      <c r="P49" s="74"/>
      <c r="Q49" s="74"/>
      <c r="R49" s="74"/>
      <c r="S49" s="74"/>
    </row>
    <row r="50" spans="1:19" s="75" customFormat="1" ht="93">
      <c r="A50" s="110" t="s">
        <v>221</v>
      </c>
      <c r="B50" s="85" t="s">
        <v>12</v>
      </c>
      <c r="C50" s="84" t="s">
        <v>222</v>
      </c>
      <c r="D50" s="84" t="s">
        <v>13</v>
      </c>
      <c r="E50" s="84" t="s">
        <v>15</v>
      </c>
      <c r="F50" s="114" t="s">
        <v>183</v>
      </c>
      <c r="G50" s="115" t="s">
        <v>184</v>
      </c>
      <c r="H50" s="114" t="s">
        <v>175</v>
      </c>
      <c r="I50" s="84" t="s">
        <v>103</v>
      </c>
      <c r="J50" s="122">
        <v>15400</v>
      </c>
      <c r="K50" s="84"/>
      <c r="L50" s="85"/>
      <c r="M50" s="74"/>
      <c r="N50" s="74"/>
      <c r="O50" s="74"/>
      <c r="P50" s="74"/>
      <c r="Q50" s="74"/>
      <c r="R50" s="74"/>
      <c r="S50" s="74"/>
    </row>
    <row r="51" spans="1:19" s="75" customFormat="1" ht="139.5">
      <c r="A51" s="110" t="s">
        <v>223</v>
      </c>
      <c r="B51" s="85" t="s">
        <v>12</v>
      </c>
      <c r="C51" s="84" t="s">
        <v>224</v>
      </c>
      <c r="D51" s="84" t="s">
        <v>13</v>
      </c>
      <c r="E51" s="84" t="s">
        <v>15</v>
      </c>
      <c r="F51" s="114" t="s">
        <v>183</v>
      </c>
      <c r="G51" s="115" t="s">
        <v>184</v>
      </c>
      <c r="H51" s="114" t="s">
        <v>175</v>
      </c>
      <c r="I51" s="84" t="s">
        <v>103</v>
      </c>
      <c r="J51" s="122">
        <f>9080*2</f>
        <v>18160</v>
      </c>
      <c r="K51" s="84"/>
      <c r="L51" s="85"/>
      <c r="M51" s="74"/>
      <c r="N51" s="74"/>
      <c r="O51" s="74"/>
      <c r="P51" s="74"/>
      <c r="Q51" s="74"/>
      <c r="R51" s="74"/>
      <c r="S51" s="74"/>
    </row>
    <row r="52" spans="1:19" s="75" customFormat="1" ht="20">
      <c r="A52" s="116" t="s">
        <v>136</v>
      </c>
      <c r="B52" s="85"/>
      <c r="C52" s="84"/>
      <c r="D52" s="84"/>
      <c r="E52" s="84"/>
      <c r="F52" s="84"/>
      <c r="G52" s="84"/>
      <c r="H52" s="84"/>
      <c r="I52" s="84"/>
      <c r="J52" s="98">
        <f>SUM(J53:J54)</f>
        <v>50000</v>
      </c>
      <c r="K52" s="84"/>
      <c r="L52" s="85"/>
      <c r="M52" s="74"/>
      <c r="N52" s="74"/>
      <c r="O52" s="74"/>
      <c r="P52" s="74"/>
      <c r="Q52" s="74"/>
      <c r="R52" s="74"/>
      <c r="S52" s="74"/>
    </row>
    <row r="53" spans="1:19" s="75" customFormat="1" ht="201.5">
      <c r="A53" s="110" t="s">
        <v>227</v>
      </c>
      <c r="B53" s="85" t="s">
        <v>12</v>
      </c>
      <c r="C53" s="84" t="s">
        <v>141</v>
      </c>
      <c r="D53" s="84" t="s">
        <v>13</v>
      </c>
      <c r="E53" s="84" t="s">
        <v>15</v>
      </c>
      <c r="F53" s="114" t="s">
        <v>180</v>
      </c>
      <c r="G53" s="115" t="s">
        <v>178</v>
      </c>
      <c r="H53" s="114" t="s">
        <v>181</v>
      </c>
      <c r="I53" s="84" t="s">
        <v>103</v>
      </c>
      <c r="J53" s="122">
        <f>22000*2</f>
        <v>44000</v>
      </c>
      <c r="K53" s="84"/>
      <c r="L53" s="85"/>
      <c r="M53" s="74"/>
      <c r="N53" s="74"/>
      <c r="O53" s="74"/>
      <c r="P53" s="74"/>
      <c r="Q53" s="74"/>
      <c r="R53" s="74"/>
      <c r="S53" s="74"/>
    </row>
    <row r="54" spans="1:19" s="75" customFormat="1" ht="46.5">
      <c r="A54" s="110" t="s">
        <v>229</v>
      </c>
      <c r="B54" s="85" t="s">
        <v>12</v>
      </c>
      <c r="C54" s="84" t="s">
        <v>142</v>
      </c>
      <c r="D54" s="84" t="s">
        <v>13</v>
      </c>
      <c r="E54" s="84" t="s">
        <v>15</v>
      </c>
      <c r="F54" s="114" t="s">
        <v>180</v>
      </c>
      <c r="G54" s="115" t="s">
        <v>178</v>
      </c>
      <c r="H54" s="114" t="s">
        <v>181</v>
      </c>
      <c r="I54" s="84" t="s">
        <v>103</v>
      </c>
      <c r="J54" s="122">
        <v>6000</v>
      </c>
      <c r="K54" s="84"/>
      <c r="L54" s="85"/>
      <c r="M54" s="74"/>
      <c r="N54" s="74"/>
      <c r="O54" s="74"/>
      <c r="P54" s="74"/>
      <c r="Q54" s="74"/>
      <c r="R54" s="74"/>
      <c r="S54" s="74"/>
    </row>
    <row r="55" spans="1:19" s="75" customFormat="1" ht="20">
      <c r="A55" s="116" t="s">
        <v>137</v>
      </c>
      <c r="B55" s="85"/>
      <c r="C55" s="84"/>
      <c r="D55" s="84"/>
      <c r="E55" s="84"/>
      <c r="F55" s="84"/>
      <c r="G55" s="84"/>
      <c r="H55" s="84"/>
      <c r="I55" s="84"/>
      <c r="J55" s="98">
        <f>SUM(J56:J57)</f>
        <v>50000</v>
      </c>
      <c r="K55" s="84"/>
      <c r="L55" s="85"/>
      <c r="M55" s="74"/>
      <c r="N55" s="74"/>
      <c r="O55" s="74"/>
      <c r="P55" s="74"/>
      <c r="Q55" s="74"/>
      <c r="R55" s="74"/>
      <c r="S55" s="74"/>
    </row>
    <row r="56" spans="1:19" s="75" customFormat="1" ht="81.650000000000006" customHeight="1">
      <c r="A56" s="117" t="s">
        <v>267</v>
      </c>
      <c r="B56" s="85" t="s">
        <v>12</v>
      </c>
      <c r="C56" s="84" t="s">
        <v>225</v>
      </c>
      <c r="D56" s="84" t="s">
        <v>13</v>
      </c>
      <c r="E56" s="84" t="s">
        <v>15</v>
      </c>
      <c r="F56" s="114" t="s">
        <v>180</v>
      </c>
      <c r="G56" s="115" t="s">
        <v>178</v>
      </c>
      <c r="H56" s="114" t="s">
        <v>181</v>
      </c>
      <c r="I56" s="84" t="s">
        <v>103</v>
      </c>
      <c r="J56" s="98">
        <v>25000</v>
      </c>
      <c r="K56" s="84"/>
      <c r="L56" s="85"/>
      <c r="M56" s="74"/>
      <c r="N56" s="74"/>
      <c r="O56" s="74"/>
      <c r="P56" s="74"/>
      <c r="Q56" s="74"/>
      <c r="R56" s="74"/>
      <c r="S56" s="74"/>
    </row>
    <row r="57" spans="1:19" s="75" customFormat="1" ht="124">
      <c r="A57" s="110" t="s">
        <v>228</v>
      </c>
      <c r="B57" s="85" t="s">
        <v>12</v>
      </c>
      <c r="C57" s="84" t="s">
        <v>226</v>
      </c>
      <c r="D57" s="84" t="s">
        <v>13</v>
      </c>
      <c r="E57" s="84" t="s">
        <v>15</v>
      </c>
      <c r="F57" s="114" t="s">
        <v>180</v>
      </c>
      <c r="G57" s="115" t="s">
        <v>178</v>
      </c>
      <c r="H57" s="114" t="s">
        <v>181</v>
      </c>
      <c r="I57" s="84" t="s">
        <v>103</v>
      </c>
      <c r="J57" s="98">
        <f>12500*2</f>
        <v>25000</v>
      </c>
      <c r="K57" s="84"/>
      <c r="L57" s="85"/>
      <c r="M57" s="74"/>
      <c r="N57" s="74"/>
      <c r="O57" s="74"/>
      <c r="P57" s="74"/>
      <c r="Q57" s="74"/>
      <c r="R57" s="74"/>
      <c r="S57" s="74"/>
    </row>
    <row r="58" spans="1:19" s="75" customFormat="1" ht="20">
      <c r="A58" s="116" t="s">
        <v>138</v>
      </c>
      <c r="B58" s="85"/>
      <c r="C58" s="84"/>
      <c r="D58" s="84"/>
      <c r="E58" s="84"/>
      <c r="F58" s="84"/>
      <c r="G58" s="84"/>
      <c r="H58" s="84"/>
      <c r="I58" s="84"/>
      <c r="J58" s="98">
        <f>SUM(J59:J72)</f>
        <v>99500</v>
      </c>
      <c r="K58" s="84"/>
      <c r="L58" s="85"/>
      <c r="M58" s="74"/>
      <c r="N58" s="74"/>
      <c r="O58" s="74"/>
      <c r="P58" s="74"/>
      <c r="Q58" s="74"/>
      <c r="R58" s="74"/>
      <c r="S58" s="74"/>
    </row>
    <row r="59" spans="1:19" s="75" customFormat="1" ht="31">
      <c r="A59" s="110" t="s">
        <v>230</v>
      </c>
      <c r="B59" s="85" t="s">
        <v>12</v>
      </c>
      <c r="C59" s="84" t="s">
        <v>250</v>
      </c>
      <c r="D59" s="84" t="s">
        <v>13</v>
      </c>
      <c r="E59" s="84" t="s">
        <v>15</v>
      </c>
      <c r="F59" s="114" t="s">
        <v>180</v>
      </c>
      <c r="G59" s="115" t="s">
        <v>178</v>
      </c>
      <c r="H59" s="114" t="s">
        <v>181</v>
      </c>
      <c r="I59" s="84" t="s">
        <v>103</v>
      </c>
      <c r="J59" s="98">
        <f>150*100</f>
        <v>15000</v>
      </c>
      <c r="K59" s="98"/>
      <c r="L59" s="85"/>
      <c r="M59" s="74"/>
      <c r="N59" s="74"/>
      <c r="O59" s="74"/>
      <c r="P59" s="74"/>
      <c r="Q59" s="74"/>
      <c r="R59" s="74"/>
      <c r="S59" s="74"/>
    </row>
    <row r="60" spans="1:19" s="75" customFormat="1" ht="31">
      <c r="A60" s="110" t="s">
        <v>231</v>
      </c>
      <c r="B60" s="85" t="s">
        <v>12</v>
      </c>
      <c r="C60" s="84" t="s">
        <v>249</v>
      </c>
      <c r="D60" s="84" t="s">
        <v>13</v>
      </c>
      <c r="E60" s="84" t="s">
        <v>15</v>
      </c>
      <c r="F60" s="114" t="s">
        <v>180</v>
      </c>
      <c r="G60" s="115" t="s">
        <v>178</v>
      </c>
      <c r="H60" s="114" t="s">
        <v>181</v>
      </c>
      <c r="I60" s="84" t="s">
        <v>103</v>
      </c>
      <c r="J60" s="98">
        <f>300*12</f>
        <v>3600</v>
      </c>
      <c r="K60" s="98"/>
      <c r="L60" s="85"/>
      <c r="M60" s="74"/>
      <c r="N60" s="74"/>
      <c r="O60" s="74"/>
      <c r="P60" s="74"/>
      <c r="Q60" s="74"/>
      <c r="R60" s="74"/>
      <c r="S60" s="74"/>
    </row>
    <row r="61" spans="1:19" s="75" customFormat="1" ht="31">
      <c r="A61" s="110" t="s">
        <v>233</v>
      </c>
      <c r="B61" s="85" t="s">
        <v>12</v>
      </c>
      <c r="C61" s="84" t="s">
        <v>236</v>
      </c>
      <c r="D61" s="84" t="s">
        <v>13</v>
      </c>
      <c r="E61" s="84" t="s">
        <v>15</v>
      </c>
      <c r="F61" s="114" t="s">
        <v>180</v>
      </c>
      <c r="G61" s="115" t="s">
        <v>178</v>
      </c>
      <c r="H61" s="114" t="s">
        <v>181</v>
      </c>
      <c r="I61" s="84" t="s">
        <v>103</v>
      </c>
      <c r="J61" s="98">
        <f>5*250</f>
        <v>1250</v>
      </c>
      <c r="K61" s="98"/>
      <c r="L61" s="85"/>
      <c r="M61" s="74"/>
      <c r="N61" s="74"/>
      <c r="O61" s="74"/>
      <c r="P61" s="74"/>
      <c r="Q61" s="74"/>
      <c r="R61" s="74"/>
      <c r="S61" s="74"/>
    </row>
    <row r="62" spans="1:19" s="75" customFormat="1" ht="31">
      <c r="A62" s="110" t="s">
        <v>232</v>
      </c>
      <c r="B62" s="85" t="s">
        <v>12</v>
      </c>
      <c r="C62" s="84" t="s">
        <v>235</v>
      </c>
      <c r="D62" s="84" t="s">
        <v>13</v>
      </c>
      <c r="E62" s="84" t="s">
        <v>15</v>
      </c>
      <c r="F62" s="114" t="s">
        <v>180</v>
      </c>
      <c r="G62" s="115" t="s">
        <v>178</v>
      </c>
      <c r="H62" s="114" t="s">
        <v>181</v>
      </c>
      <c r="I62" s="84" t="s">
        <v>103</v>
      </c>
      <c r="J62" s="98">
        <f>5*150</f>
        <v>750</v>
      </c>
      <c r="K62" s="84"/>
      <c r="L62" s="85"/>
      <c r="M62" s="74"/>
      <c r="N62" s="74"/>
      <c r="O62" s="74"/>
      <c r="P62" s="74"/>
      <c r="Q62" s="74"/>
      <c r="R62" s="74"/>
      <c r="S62" s="74"/>
    </row>
    <row r="63" spans="1:19" s="75" customFormat="1" ht="62">
      <c r="A63" s="110" t="s">
        <v>256</v>
      </c>
      <c r="B63" s="85" t="s">
        <v>12</v>
      </c>
      <c r="C63" s="84" t="s">
        <v>257</v>
      </c>
      <c r="D63" s="84" t="s">
        <v>13</v>
      </c>
      <c r="E63" s="84" t="s">
        <v>15</v>
      </c>
      <c r="F63" s="114" t="s">
        <v>180</v>
      </c>
      <c r="G63" s="115" t="s">
        <v>178</v>
      </c>
      <c r="H63" s="114" t="s">
        <v>181</v>
      </c>
      <c r="I63" s="84" t="s">
        <v>103</v>
      </c>
      <c r="J63" s="98">
        <f>100*170</f>
        <v>17000</v>
      </c>
      <c r="K63" s="84"/>
      <c r="L63" s="85"/>
      <c r="M63" s="74"/>
      <c r="N63" s="74"/>
      <c r="O63" s="74"/>
      <c r="P63" s="74"/>
      <c r="Q63" s="74"/>
      <c r="R63" s="74"/>
      <c r="S63" s="74"/>
    </row>
    <row r="64" spans="1:19" s="75" customFormat="1" ht="31">
      <c r="A64" s="143" t="s">
        <v>239</v>
      </c>
      <c r="B64" s="85" t="s">
        <v>12</v>
      </c>
      <c r="C64" s="84" t="s">
        <v>241</v>
      </c>
      <c r="D64" s="84" t="s">
        <v>13</v>
      </c>
      <c r="E64" s="84" t="s">
        <v>15</v>
      </c>
      <c r="F64" s="114" t="s">
        <v>180</v>
      </c>
      <c r="G64" s="115" t="s">
        <v>178</v>
      </c>
      <c r="H64" s="114" t="s">
        <v>181</v>
      </c>
      <c r="I64" s="84" t="s">
        <v>103</v>
      </c>
      <c r="J64" s="98">
        <f>150*100</f>
        <v>15000</v>
      </c>
      <c r="K64" s="84"/>
      <c r="L64" s="85"/>
      <c r="M64" s="74"/>
      <c r="N64" s="74"/>
      <c r="O64" s="74"/>
      <c r="P64" s="74"/>
      <c r="Q64" s="74"/>
      <c r="R64" s="74"/>
      <c r="S64" s="74"/>
    </row>
    <row r="65" spans="1:19" s="75" customFormat="1" ht="31">
      <c r="A65" s="143" t="s">
        <v>240</v>
      </c>
      <c r="B65" s="85" t="s">
        <v>12</v>
      </c>
      <c r="C65" s="84" t="s">
        <v>242</v>
      </c>
      <c r="D65" s="84" t="s">
        <v>13</v>
      </c>
      <c r="E65" s="84" t="s">
        <v>15</v>
      </c>
      <c r="F65" s="114" t="s">
        <v>180</v>
      </c>
      <c r="G65" s="115" t="s">
        <v>178</v>
      </c>
      <c r="H65" s="114" t="s">
        <v>181</v>
      </c>
      <c r="I65" s="84" t="s">
        <v>103</v>
      </c>
      <c r="J65" s="98">
        <f>50*200</f>
        <v>10000</v>
      </c>
      <c r="K65" s="84"/>
      <c r="L65" s="85"/>
      <c r="M65" s="74"/>
      <c r="N65" s="74"/>
      <c r="O65" s="74"/>
      <c r="P65" s="74"/>
      <c r="Q65" s="74"/>
      <c r="R65" s="74"/>
      <c r="S65" s="74"/>
    </row>
    <row r="66" spans="1:19" s="75" customFormat="1" ht="46.5">
      <c r="A66" s="143" t="s">
        <v>247</v>
      </c>
      <c r="B66" s="85" t="s">
        <v>12</v>
      </c>
      <c r="C66" s="84" t="s">
        <v>248</v>
      </c>
      <c r="D66" s="84" t="s">
        <v>13</v>
      </c>
      <c r="E66" s="84" t="s">
        <v>15</v>
      </c>
      <c r="F66" s="114" t="s">
        <v>180</v>
      </c>
      <c r="G66" s="115" t="s">
        <v>178</v>
      </c>
      <c r="H66" s="114" t="s">
        <v>181</v>
      </c>
      <c r="I66" s="84" t="s">
        <v>103</v>
      </c>
      <c r="J66" s="98">
        <v>2500</v>
      </c>
      <c r="K66" s="84"/>
      <c r="L66" s="85"/>
      <c r="M66" s="74"/>
      <c r="N66" s="74"/>
      <c r="O66" s="74"/>
      <c r="P66" s="74"/>
      <c r="Q66" s="74"/>
      <c r="R66" s="74"/>
      <c r="S66" s="74"/>
    </row>
    <row r="67" spans="1:19" s="75" customFormat="1" ht="46.5">
      <c r="A67" s="143" t="s">
        <v>258</v>
      </c>
      <c r="B67" s="85" t="s">
        <v>12</v>
      </c>
      <c r="C67" s="84" t="s">
        <v>264</v>
      </c>
      <c r="D67" s="84" t="s">
        <v>13</v>
      </c>
      <c r="E67" s="84" t="s">
        <v>15</v>
      </c>
      <c r="F67" s="114" t="s">
        <v>259</v>
      </c>
      <c r="G67" s="115" t="s">
        <v>260</v>
      </c>
      <c r="H67" s="114" t="s">
        <v>261</v>
      </c>
      <c r="I67" s="84" t="s">
        <v>103</v>
      </c>
      <c r="J67" s="98">
        <f>1500*3</f>
        <v>4500</v>
      </c>
      <c r="K67" s="84"/>
      <c r="L67" s="85"/>
      <c r="M67" s="74"/>
      <c r="N67" s="74"/>
      <c r="O67" s="74"/>
      <c r="P67" s="74"/>
      <c r="Q67" s="74"/>
      <c r="R67" s="74"/>
      <c r="S67" s="74"/>
    </row>
    <row r="68" spans="1:19" s="75" customFormat="1" ht="62">
      <c r="A68" s="143" t="s">
        <v>243</v>
      </c>
      <c r="B68" s="85" t="s">
        <v>12</v>
      </c>
      <c r="C68" s="84" t="s">
        <v>251</v>
      </c>
      <c r="D68" s="84" t="s">
        <v>13</v>
      </c>
      <c r="E68" s="84" t="s">
        <v>15</v>
      </c>
      <c r="F68" s="114" t="s">
        <v>180</v>
      </c>
      <c r="G68" s="115" t="s">
        <v>178</v>
      </c>
      <c r="H68" s="114" t="s">
        <v>181</v>
      </c>
      <c r="I68" s="84" t="s">
        <v>103</v>
      </c>
      <c r="J68" s="98">
        <f>3000*2</f>
        <v>6000</v>
      </c>
      <c r="K68" s="84"/>
      <c r="L68" s="85"/>
      <c r="M68" s="74"/>
      <c r="N68" s="74"/>
      <c r="O68" s="74"/>
      <c r="P68" s="74"/>
      <c r="Q68" s="74"/>
      <c r="R68" s="74"/>
      <c r="S68" s="74"/>
    </row>
    <row r="69" spans="1:19" s="75" customFormat="1" ht="77.5">
      <c r="A69" s="143" t="s">
        <v>262</v>
      </c>
      <c r="B69" s="85" t="s">
        <v>12</v>
      </c>
      <c r="C69" s="84" t="s">
        <v>263</v>
      </c>
      <c r="D69" s="84" t="s">
        <v>13</v>
      </c>
      <c r="E69" s="84" t="s">
        <v>15</v>
      </c>
      <c r="F69" s="114" t="s">
        <v>180</v>
      </c>
      <c r="G69" s="115" t="s">
        <v>178</v>
      </c>
      <c r="H69" s="114" t="s">
        <v>181</v>
      </c>
      <c r="I69" s="84" t="s">
        <v>103</v>
      </c>
      <c r="J69" s="98">
        <f>10*700</f>
        <v>7000</v>
      </c>
      <c r="K69" s="84"/>
      <c r="L69" s="85"/>
      <c r="M69" s="74"/>
      <c r="N69" s="74"/>
      <c r="O69" s="74"/>
      <c r="P69" s="74"/>
      <c r="Q69" s="74"/>
      <c r="R69" s="74"/>
      <c r="S69" s="74"/>
    </row>
    <row r="70" spans="1:19" s="75" customFormat="1" ht="77.5">
      <c r="A70" s="143" t="s">
        <v>265</v>
      </c>
      <c r="B70" s="85" t="s">
        <v>12</v>
      </c>
      <c r="C70" s="84" t="s">
        <v>266</v>
      </c>
      <c r="D70" s="84" t="s">
        <v>13</v>
      </c>
      <c r="E70" s="84" t="s">
        <v>15</v>
      </c>
      <c r="F70" s="114" t="s">
        <v>180</v>
      </c>
      <c r="G70" s="115" t="s">
        <v>178</v>
      </c>
      <c r="H70" s="114" t="s">
        <v>181</v>
      </c>
      <c r="I70" s="84" t="s">
        <v>103</v>
      </c>
      <c r="J70" s="98">
        <f>700*2</f>
        <v>1400</v>
      </c>
      <c r="K70" s="84"/>
      <c r="L70" s="85"/>
      <c r="M70" s="74"/>
      <c r="N70" s="74"/>
      <c r="O70" s="74"/>
      <c r="P70" s="74"/>
      <c r="Q70" s="74"/>
      <c r="R70" s="74"/>
      <c r="S70" s="74"/>
    </row>
    <row r="71" spans="1:19" s="75" customFormat="1" ht="46.5">
      <c r="A71" s="143" t="s">
        <v>234</v>
      </c>
      <c r="B71" s="85" t="s">
        <v>12</v>
      </c>
      <c r="C71" s="84" t="s">
        <v>246</v>
      </c>
      <c r="D71" s="84" t="s">
        <v>13</v>
      </c>
      <c r="E71" s="84" t="s">
        <v>15</v>
      </c>
      <c r="F71" s="114" t="s">
        <v>180</v>
      </c>
      <c r="G71" s="115" t="s">
        <v>178</v>
      </c>
      <c r="H71" s="114" t="s">
        <v>181</v>
      </c>
      <c r="I71" s="84" t="s">
        <v>103</v>
      </c>
      <c r="J71" s="98">
        <f>50*170</f>
        <v>8500</v>
      </c>
      <c r="K71" s="84"/>
      <c r="L71" s="85"/>
      <c r="M71" s="74"/>
      <c r="N71" s="74"/>
      <c r="O71" s="74"/>
      <c r="P71" s="74"/>
      <c r="Q71" s="74"/>
      <c r="R71" s="74"/>
      <c r="S71" s="74"/>
    </row>
    <row r="72" spans="1:19" s="75" customFormat="1" ht="31">
      <c r="A72" s="110" t="s">
        <v>237</v>
      </c>
      <c r="B72" s="85" t="s">
        <v>12</v>
      </c>
      <c r="C72" s="84" t="s">
        <v>238</v>
      </c>
      <c r="D72" s="84" t="s">
        <v>13</v>
      </c>
      <c r="E72" s="84" t="s">
        <v>15</v>
      </c>
      <c r="F72" s="114" t="s">
        <v>180</v>
      </c>
      <c r="G72" s="115" t="s">
        <v>178</v>
      </c>
      <c r="H72" s="114" t="s">
        <v>181</v>
      </c>
      <c r="I72" s="84" t="s">
        <v>103</v>
      </c>
      <c r="J72" s="98">
        <f>100*70</f>
        <v>7000</v>
      </c>
      <c r="K72" s="84"/>
      <c r="L72" s="85"/>
      <c r="M72" s="74"/>
      <c r="N72" s="74"/>
      <c r="O72" s="74"/>
      <c r="P72" s="74"/>
      <c r="Q72" s="74"/>
      <c r="R72" s="74"/>
      <c r="S72" s="74"/>
    </row>
    <row r="73" spans="1:19" s="75" customFormat="1" ht="20">
      <c r="A73" s="116" t="s">
        <v>140</v>
      </c>
      <c r="B73" s="85"/>
      <c r="C73" s="84"/>
      <c r="D73" s="84"/>
      <c r="E73" s="84"/>
      <c r="F73" s="84"/>
      <c r="G73" s="84"/>
      <c r="H73" s="84"/>
      <c r="I73" s="84"/>
      <c r="J73" s="98"/>
      <c r="K73" s="84"/>
      <c r="L73" s="85"/>
      <c r="M73" s="74"/>
      <c r="N73" s="74"/>
      <c r="O73" s="74"/>
      <c r="P73" s="74"/>
      <c r="Q73" s="74"/>
      <c r="R73" s="74"/>
      <c r="S73" s="74"/>
    </row>
    <row r="74" spans="1:19" s="75" customFormat="1" ht="31">
      <c r="A74" s="110" t="s">
        <v>173</v>
      </c>
      <c r="B74" s="85" t="s">
        <v>172</v>
      </c>
      <c r="C74" s="84" t="s">
        <v>174</v>
      </c>
      <c r="D74" s="84" t="s">
        <v>13</v>
      </c>
      <c r="E74" s="84" t="s">
        <v>15</v>
      </c>
      <c r="F74" s="114" t="s">
        <v>180</v>
      </c>
      <c r="G74" s="114" t="s">
        <v>180</v>
      </c>
      <c r="H74" s="84" t="s">
        <v>179</v>
      </c>
      <c r="I74" s="84" t="s">
        <v>103</v>
      </c>
      <c r="J74" s="98">
        <f>50*1000</f>
        <v>50000</v>
      </c>
      <c r="K74" s="84"/>
      <c r="L74" s="85"/>
      <c r="M74" s="74"/>
      <c r="N74" s="74"/>
      <c r="O74" s="74"/>
      <c r="P74" s="74"/>
      <c r="Q74" s="74"/>
      <c r="R74" s="74"/>
      <c r="S74" s="74"/>
    </row>
    <row r="75" spans="1:19" s="75" customFormat="1" ht="20">
      <c r="A75" s="108" t="s">
        <v>205</v>
      </c>
      <c r="B75" s="85"/>
      <c r="C75" s="84"/>
      <c r="D75" s="84"/>
      <c r="E75" s="84"/>
      <c r="F75" s="84"/>
      <c r="G75" s="84"/>
      <c r="H75" s="84"/>
      <c r="I75" s="84"/>
      <c r="J75" s="98"/>
      <c r="K75" s="84"/>
      <c r="L75" s="85"/>
      <c r="M75" s="74"/>
      <c r="N75" s="74"/>
      <c r="O75" s="74"/>
      <c r="P75" s="74"/>
      <c r="Q75" s="74"/>
      <c r="R75" s="74"/>
      <c r="S75" s="74"/>
    </row>
    <row r="76" spans="1:19" s="75" customFormat="1" ht="18" customHeight="1">
      <c r="A76" s="111" t="s">
        <v>156</v>
      </c>
      <c r="B76" s="85"/>
      <c r="C76" s="84"/>
      <c r="D76" s="84"/>
      <c r="E76" s="84"/>
      <c r="F76" s="84"/>
      <c r="G76" s="84"/>
      <c r="H76" s="84"/>
      <c r="I76" s="84"/>
      <c r="J76" s="98"/>
      <c r="K76" s="84"/>
      <c r="L76" s="85"/>
      <c r="M76" s="74"/>
      <c r="N76" s="74"/>
      <c r="O76" s="74"/>
      <c r="P76" s="74"/>
      <c r="Q76" s="74"/>
      <c r="R76" s="74"/>
      <c r="S76" s="74"/>
    </row>
    <row r="77" spans="1:19" s="75" customFormat="1" ht="20">
      <c r="A77" s="116" t="s">
        <v>139</v>
      </c>
      <c r="B77" s="85"/>
      <c r="C77" s="84"/>
      <c r="D77" s="84"/>
      <c r="E77" s="84"/>
      <c r="F77" s="84"/>
      <c r="G77" s="84"/>
      <c r="H77" s="84"/>
      <c r="I77" s="84"/>
      <c r="J77" s="98"/>
      <c r="K77" s="84"/>
      <c r="L77" s="85"/>
      <c r="M77" s="74"/>
      <c r="N77" s="74"/>
      <c r="O77" s="74"/>
      <c r="P77" s="74"/>
      <c r="Q77" s="74"/>
      <c r="R77" s="74"/>
      <c r="S77" s="74"/>
    </row>
    <row r="78" spans="1:19" s="75" customFormat="1" ht="46.5">
      <c r="A78" s="110" t="s">
        <v>163</v>
      </c>
      <c r="B78" s="85" t="s">
        <v>12</v>
      </c>
      <c r="C78" s="84" t="s">
        <v>158</v>
      </c>
      <c r="D78" s="84" t="s">
        <v>13</v>
      </c>
      <c r="E78" s="84" t="s">
        <v>15</v>
      </c>
      <c r="F78" s="114" t="s">
        <v>180</v>
      </c>
      <c r="G78" s="114" t="s">
        <v>180</v>
      </c>
      <c r="H78" s="115" t="s">
        <v>178</v>
      </c>
      <c r="I78" s="84" t="s">
        <v>103</v>
      </c>
      <c r="J78" s="98">
        <f>1014.4*52</f>
        <v>52748.799999999996</v>
      </c>
      <c r="K78" s="84"/>
      <c r="L78" s="85"/>
      <c r="M78" s="74"/>
      <c r="N78" s="74"/>
      <c r="O78" s="74"/>
      <c r="P78" s="74"/>
      <c r="Q78" s="74"/>
      <c r="R78" s="74"/>
      <c r="S78" s="74"/>
    </row>
    <row r="79" spans="1:19" s="75" customFormat="1" ht="20">
      <c r="A79" s="111" t="s">
        <v>157</v>
      </c>
      <c r="B79" s="85"/>
      <c r="C79" s="84"/>
      <c r="D79" s="84"/>
      <c r="E79" s="84"/>
      <c r="F79" s="84"/>
      <c r="G79" s="84"/>
      <c r="H79" s="84"/>
      <c r="I79" s="84"/>
      <c r="J79" s="98"/>
      <c r="K79" s="84"/>
      <c r="L79" s="85"/>
      <c r="M79" s="74"/>
      <c r="N79" s="74"/>
      <c r="O79" s="74"/>
      <c r="P79" s="74"/>
      <c r="Q79" s="74"/>
      <c r="R79" s="74"/>
      <c r="S79" s="74"/>
    </row>
    <row r="80" spans="1:19" s="75" customFormat="1" ht="20">
      <c r="A80" s="116" t="s">
        <v>138</v>
      </c>
      <c r="B80" s="85"/>
      <c r="C80" s="84"/>
      <c r="D80" s="84"/>
      <c r="E80" s="84"/>
      <c r="F80" s="84"/>
      <c r="G80" s="84"/>
      <c r="H80" s="84"/>
      <c r="I80" s="84"/>
      <c r="J80" s="98"/>
      <c r="K80" s="84"/>
      <c r="L80" s="85"/>
      <c r="M80" s="74"/>
      <c r="N80" s="74"/>
      <c r="O80" s="74"/>
      <c r="P80" s="74"/>
      <c r="Q80" s="74"/>
      <c r="R80" s="74"/>
      <c r="S80" s="74"/>
    </row>
    <row r="81" spans="1:22" s="75" customFormat="1" ht="46.5">
      <c r="A81" s="110" t="s">
        <v>254</v>
      </c>
      <c r="B81" s="85" t="s">
        <v>12</v>
      </c>
      <c r="C81" s="84" t="s">
        <v>255</v>
      </c>
      <c r="D81" s="84" t="s">
        <v>13</v>
      </c>
      <c r="E81" s="84" t="s">
        <v>15</v>
      </c>
      <c r="F81" s="114" t="s">
        <v>180</v>
      </c>
      <c r="G81" s="115" t="s">
        <v>178</v>
      </c>
      <c r="H81" s="114" t="s">
        <v>181</v>
      </c>
      <c r="I81" s="84" t="s">
        <v>103</v>
      </c>
      <c r="J81" s="98">
        <f>150*10</f>
        <v>1500</v>
      </c>
      <c r="K81" s="84"/>
      <c r="L81" s="85"/>
      <c r="M81" s="74"/>
      <c r="N81" s="74"/>
      <c r="O81" s="74"/>
      <c r="P81" s="74"/>
      <c r="Q81" s="74"/>
      <c r="R81" s="74"/>
      <c r="S81" s="74"/>
    </row>
    <row r="82" spans="1:22" s="75" customFormat="1" ht="46.5">
      <c r="A82" s="110" t="s">
        <v>252</v>
      </c>
      <c r="B82" s="85" t="s">
        <v>12</v>
      </c>
      <c r="C82" s="84" t="s">
        <v>253</v>
      </c>
      <c r="D82" s="84" t="s">
        <v>13</v>
      </c>
      <c r="E82" s="84" t="s">
        <v>15</v>
      </c>
      <c r="F82" s="114" t="s">
        <v>182</v>
      </c>
      <c r="G82" s="115" t="s">
        <v>182</v>
      </c>
      <c r="H82" s="115" t="s">
        <v>177</v>
      </c>
      <c r="I82" s="84" t="s">
        <v>103</v>
      </c>
      <c r="J82" s="98">
        <f>2000*10</f>
        <v>20000</v>
      </c>
      <c r="K82" s="84"/>
      <c r="L82" s="85"/>
      <c r="M82" s="74"/>
      <c r="N82" s="74"/>
      <c r="O82" s="74"/>
      <c r="P82" s="74"/>
      <c r="Q82" s="74"/>
      <c r="R82" s="74"/>
      <c r="S82" s="74"/>
    </row>
    <row r="83" spans="1:22" s="75" customFormat="1" ht="62">
      <c r="A83" s="110" t="s">
        <v>244</v>
      </c>
      <c r="B83" s="85" t="s">
        <v>12</v>
      </c>
      <c r="C83" s="84" t="s">
        <v>245</v>
      </c>
      <c r="D83" s="84" t="s">
        <v>13</v>
      </c>
      <c r="E83" s="84" t="s">
        <v>15</v>
      </c>
      <c r="F83" s="114" t="s">
        <v>180</v>
      </c>
      <c r="G83" s="115" t="s">
        <v>178</v>
      </c>
      <c r="H83" s="114" t="s">
        <v>181</v>
      </c>
      <c r="I83" s="84" t="s">
        <v>103</v>
      </c>
      <c r="J83" s="98">
        <f>1800*5</f>
        <v>9000</v>
      </c>
      <c r="K83" s="84"/>
      <c r="L83" s="85"/>
      <c r="M83" s="74"/>
      <c r="N83" s="74"/>
      <c r="O83" s="74"/>
      <c r="P83" s="74"/>
      <c r="Q83" s="74"/>
      <c r="R83" s="74"/>
      <c r="S83" s="74"/>
    </row>
    <row r="84" spans="1:22" s="75" customFormat="1" ht="20">
      <c r="A84" s="116" t="s">
        <v>139</v>
      </c>
      <c r="B84" s="85"/>
      <c r="C84" s="84"/>
      <c r="D84" s="84"/>
      <c r="E84" s="84"/>
      <c r="F84" s="84"/>
      <c r="G84" s="84"/>
      <c r="H84" s="84"/>
      <c r="I84" s="84"/>
      <c r="J84" s="98"/>
      <c r="K84" s="84"/>
      <c r="L84" s="85"/>
      <c r="M84" s="74"/>
      <c r="N84" s="74"/>
      <c r="O84" s="74"/>
      <c r="P84" s="74"/>
      <c r="Q84" s="74"/>
      <c r="R84" s="74"/>
      <c r="S84" s="74"/>
    </row>
    <row r="85" spans="1:22" s="75" customFormat="1" ht="31">
      <c r="A85" s="110" t="s">
        <v>162</v>
      </c>
      <c r="B85" s="85" t="s">
        <v>12</v>
      </c>
      <c r="C85" s="84" t="s">
        <v>160</v>
      </c>
      <c r="D85" s="84" t="s">
        <v>13</v>
      </c>
      <c r="E85" s="84" t="s">
        <v>15</v>
      </c>
      <c r="F85" s="114" t="s">
        <v>182</v>
      </c>
      <c r="G85" s="115" t="s">
        <v>182</v>
      </c>
      <c r="H85" s="115" t="s">
        <v>176</v>
      </c>
      <c r="I85" s="84" t="s">
        <v>103</v>
      </c>
      <c r="J85" s="98">
        <v>40500</v>
      </c>
      <c r="K85" s="84"/>
      <c r="L85" s="85"/>
      <c r="M85" s="74"/>
      <c r="N85" s="74"/>
      <c r="O85" s="74"/>
      <c r="P85" s="74"/>
      <c r="Q85" s="74"/>
      <c r="R85" s="74"/>
      <c r="S85" s="74"/>
    </row>
    <row r="86" spans="1:22" s="75" customFormat="1" ht="46.5">
      <c r="A86" s="110" t="s">
        <v>161</v>
      </c>
      <c r="B86" s="85" t="s">
        <v>12</v>
      </c>
      <c r="C86" s="84" t="s">
        <v>164</v>
      </c>
      <c r="D86" s="84" t="s">
        <v>13</v>
      </c>
      <c r="E86" s="84" t="s">
        <v>15</v>
      </c>
      <c r="F86" s="114" t="s">
        <v>182</v>
      </c>
      <c r="G86" s="115" t="s">
        <v>182</v>
      </c>
      <c r="H86" s="115" t="s">
        <v>176</v>
      </c>
      <c r="I86" s="84" t="s">
        <v>103</v>
      </c>
      <c r="J86" s="98">
        <v>47900</v>
      </c>
      <c r="K86" s="84"/>
      <c r="L86" s="85"/>
      <c r="M86" s="74"/>
      <c r="N86" s="74"/>
      <c r="O86" s="74"/>
      <c r="P86" s="74"/>
      <c r="Q86" s="74"/>
      <c r="R86" s="74"/>
      <c r="S86" s="74"/>
    </row>
    <row r="87" spans="1:22" s="75" customFormat="1" ht="20">
      <c r="A87" s="116" t="s">
        <v>159</v>
      </c>
      <c r="B87" s="85"/>
      <c r="C87" s="84"/>
      <c r="D87" s="84"/>
      <c r="E87" s="84"/>
      <c r="F87" s="84"/>
      <c r="G87" s="84"/>
      <c r="H87" s="84"/>
      <c r="I87" s="84"/>
      <c r="J87" s="98"/>
      <c r="K87" s="84"/>
      <c r="L87" s="85"/>
      <c r="M87" s="74"/>
      <c r="N87" s="74"/>
      <c r="O87" s="74"/>
      <c r="P87" s="74"/>
      <c r="Q87" s="74"/>
      <c r="R87" s="74"/>
      <c r="S87" s="74"/>
    </row>
    <row r="88" spans="1:22" s="75" customFormat="1" ht="31">
      <c r="A88" s="110" t="s">
        <v>165</v>
      </c>
      <c r="B88" s="85" t="s">
        <v>12</v>
      </c>
      <c r="C88" s="84" t="s">
        <v>168</v>
      </c>
      <c r="D88" s="84" t="s">
        <v>13</v>
      </c>
      <c r="E88" s="84" t="s">
        <v>15</v>
      </c>
      <c r="F88" s="114" t="s">
        <v>182</v>
      </c>
      <c r="G88" s="115" t="s">
        <v>182</v>
      </c>
      <c r="H88" s="115" t="s">
        <v>177</v>
      </c>
      <c r="I88" s="84" t="s">
        <v>103</v>
      </c>
      <c r="J88" s="98">
        <f>350*20</f>
        <v>7000</v>
      </c>
      <c r="K88" s="84"/>
      <c r="L88" s="85"/>
      <c r="M88" s="74"/>
      <c r="N88" s="74"/>
      <c r="O88" s="74"/>
      <c r="P88" s="74"/>
      <c r="Q88" s="74"/>
      <c r="R88" s="74"/>
      <c r="S88" s="74"/>
    </row>
    <row r="89" spans="1:22" s="75" customFormat="1" ht="31">
      <c r="A89" s="110" t="s">
        <v>166</v>
      </c>
      <c r="B89" s="85" t="s">
        <v>12</v>
      </c>
      <c r="C89" s="84" t="s">
        <v>167</v>
      </c>
      <c r="D89" s="84" t="s">
        <v>13</v>
      </c>
      <c r="E89" s="84" t="s">
        <v>15</v>
      </c>
      <c r="F89" s="114" t="s">
        <v>182</v>
      </c>
      <c r="G89" s="115" t="s">
        <v>182</v>
      </c>
      <c r="H89" s="115" t="s">
        <v>176</v>
      </c>
      <c r="I89" s="84" t="s">
        <v>103</v>
      </c>
      <c r="J89" s="98">
        <v>8000</v>
      </c>
      <c r="K89" s="84"/>
      <c r="L89" s="85"/>
      <c r="M89" s="74"/>
      <c r="N89" s="74"/>
      <c r="O89" s="74"/>
      <c r="P89" s="74"/>
      <c r="Q89" s="74"/>
      <c r="R89" s="74"/>
      <c r="S89" s="74"/>
    </row>
    <row r="90" spans="1:22" s="75" customFormat="1" ht="20">
      <c r="A90" s="111" t="s">
        <v>169</v>
      </c>
      <c r="B90" s="85"/>
      <c r="C90" s="84"/>
      <c r="D90" s="84"/>
      <c r="E90" s="84"/>
      <c r="F90" s="84"/>
      <c r="G90" s="84"/>
      <c r="H90" s="84"/>
      <c r="I90" s="84"/>
      <c r="J90" s="98"/>
      <c r="K90" s="84"/>
      <c r="L90" s="85"/>
      <c r="M90" s="74"/>
      <c r="N90" s="74"/>
      <c r="O90" s="74"/>
      <c r="P90" s="74"/>
      <c r="Q90" s="74"/>
      <c r="R90" s="74"/>
      <c r="S90" s="74"/>
    </row>
    <row r="91" spans="1:22" s="75" customFormat="1" ht="20">
      <c r="A91" s="116" t="s">
        <v>139</v>
      </c>
      <c r="B91" s="85"/>
      <c r="C91" s="84"/>
      <c r="D91" s="84"/>
      <c r="E91" s="84"/>
      <c r="F91" s="84"/>
      <c r="G91" s="84"/>
      <c r="H91" s="84"/>
      <c r="I91" s="84"/>
      <c r="J91" s="98"/>
      <c r="K91" s="84"/>
      <c r="L91" s="85"/>
      <c r="M91" s="74"/>
      <c r="N91" s="74"/>
      <c r="O91" s="74"/>
      <c r="P91" s="74"/>
      <c r="Q91" s="74"/>
      <c r="R91" s="74"/>
      <c r="S91" s="74"/>
    </row>
    <row r="92" spans="1:22" s="75" customFormat="1" ht="46.5">
      <c r="A92" s="110" t="s">
        <v>171</v>
      </c>
      <c r="B92" s="85" t="s">
        <v>12</v>
      </c>
      <c r="C92" s="84" t="s">
        <v>170</v>
      </c>
      <c r="D92" s="84" t="s">
        <v>13</v>
      </c>
      <c r="E92" s="84" t="s">
        <v>15</v>
      </c>
      <c r="F92" s="114" t="s">
        <v>183</v>
      </c>
      <c r="G92" s="115" t="s">
        <v>184</v>
      </c>
      <c r="H92" s="114" t="s">
        <v>175</v>
      </c>
      <c r="I92" s="84" t="s">
        <v>103</v>
      </c>
      <c r="J92" s="98">
        <f>45*6863.36</f>
        <v>308851.20000000001</v>
      </c>
      <c r="K92" s="84"/>
      <c r="L92" s="85"/>
      <c r="M92" s="74"/>
      <c r="N92" s="74"/>
      <c r="O92" s="74"/>
      <c r="P92" s="74"/>
      <c r="Q92" s="74"/>
      <c r="R92" s="74"/>
      <c r="S92" s="74"/>
    </row>
    <row r="93" spans="1:22" s="56" customFormat="1" ht="30" customHeight="1">
      <c r="A93" s="62"/>
      <c r="B93" s="63"/>
      <c r="C93" s="65"/>
      <c r="D93" s="62"/>
      <c r="E93" s="65"/>
      <c r="G93" s="65"/>
      <c r="H93" s="65"/>
      <c r="I93" s="79" t="s">
        <v>45</v>
      </c>
      <c r="J93" s="99">
        <f>SUM(J19:J92)</f>
        <v>1364500</v>
      </c>
      <c r="K93" s="65"/>
      <c r="L93" s="58"/>
      <c r="M93" s="58"/>
      <c r="N93" s="58"/>
      <c r="O93" s="58"/>
      <c r="P93" s="58"/>
      <c r="Q93" s="58"/>
      <c r="R93" s="58"/>
      <c r="S93" s="58"/>
      <c r="T93" s="58"/>
      <c r="U93" s="58"/>
      <c r="V93" s="58"/>
    </row>
    <row r="94" spans="1:22" ht="15.75" customHeight="1">
      <c r="A94" s="5"/>
      <c r="B94" s="89"/>
      <c r="C94" s="2"/>
      <c r="D94" s="5"/>
      <c r="E94" s="2"/>
      <c r="F94" s="2"/>
      <c r="G94" s="2"/>
      <c r="H94" s="2"/>
      <c r="I94" s="2"/>
      <c r="J94" s="100"/>
      <c r="K94" s="100"/>
      <c r="L94" s="9"/>
      <c r="M94" s="9"/>
      <c r="N94" s="9"/>
      <c r="O94" s="9"/>
      <c r="P94" s="9"/>
      <c r="Q94" s="9"/>
      <c r="R94" s="9"/>
      <c r="S94" s="9"/>
      <c r="T94" s="9"/>
      <c r="U94" s="9"/>
      <c r="V94" s="9"/>
    </row>
    <row r="95" spans="1:22" s="48" customFormat="1" ht="15.75" customHeight="1">
      <c r="A95" s="45"/>
      <c r="B95" s="52"/>
      <c r="C95" s="46"/>
      <c r="D95" s="45"/>
      <c r="E95" s="46"/>
      <c r="F95" s="46"/>
      <c r="G95" s="46"/>
      <c r="H95" s="46"/>
      <c r="I95" s="46"/>
      <c r="J95" s="101"/>
      <c r="K95" s="46"/>
      <c r="L95" s="47"/>
      <c r="M95" s="47"/>
      <c r="N95" s="47"/>
      <c r="O95" s="47"/>
      <c r="P95" s="47"/>
      <c r="Q95" s="47"/>
      <c r="R95" s="47"/>
      <c r="S95" s="47"/>
      <c r="T95" s="47"/>
      <c r="U95" s="47"/>
      <c r="V95" s="47"/>
    </row>
    <row r="96" spans="1:22" s="48" customFormat="1" ht="19">
      <c r="A96" s="104" t="s">
        <v>18</v>
      </c>
      <c r="C96" s="51"/>
      <c r="D96" s="104" t="s">
        <v>46</v>
      </c>
      <c r="F96" s="50"/>
      <c r="I96" s="135"/>
      <c r="J96" s="135"/>
      <c r="K96" s="49"/>
      <c r="L96" s="49"/>
      <c r="M96" s="47"/>
      <c r="N96" s="47"/>
      <c r="O96" s="47"/>
      <c r="P96" s="47"/>
      <c r="Q96" s="47"/>
      <c r="R96" s="47"/>
      <c r="S96" s="47"/>
      <c r="T96" s="47"/>
      <c r="U96" s="47"/>
    </row>
    <row r="97" spans="1:22" s="48" customFormat="1" ht="19">
      <c r="A97" s="104"/>
      <c r="C97" s="51"/>
      <c r="D97" s="104"/>
      <c r="F97" s="50"/>
      <c r="I97" s="81"/>
      <c r="J97" s="81"/>
      <c r="K97" s="49"/>
      <c r="L97" s="49"/>
      <c r="M97" s="47"/>
      <c r="N97" s="47"/>
      <c r="O97" s="47"/>
      <c r="P97" s="47"/>
      <c r="Q97" s="47"/>
      <c r="R97" s="47"/>
      <c r="S97" s="47"/>
      <c r="T97" s="47"/>
      <c r="U97" s="47"/>
    </row>
    <row r="98" spans="1:22" s="48" customFormat="1" ht="19">
      <c r="A98" s="104"/>
      <c r="C98" s="51"/>
      <c r="D98" s="104"/>
      <c r="F98" s="50"/>
      <c r="I98" s="81"/>
      <c r="J98" s="81"/>
      <c r="K98" s="49"/>
      <c r="L98" s="49"/>
      <c r="M98" s="47"/>
      <c r="N98" s="47"/>
      <c r="O98" s="47"/>
      <c r="P98" s="47"/>
      <c r="Q98" s="47"/>
      <c r="R98" s="47"/>
      <c r="S98" s="47"/>
      <c r="T98" s="47"/>
      <c r="U98" s="47"/>
    </row>
    <row r="99" spans="1:22" s="53" customFormat="1" ht="19">
      <c r="A99" s="52"/>
      <c r="B99" s="113"/>
      <c r="F99" s="52"/>
      <c r="I99" s="126"/>
      <c r="J99" s="126"/>
      <c r="K99" s="50"/>
      <c r="L99" s="50"/>
      <c r="M99" s="47"/>
      <c r="N99" s="47"/>
      <c r="O99" s="47"/>
      <c r="P99" s="47"/>
      <c r="Q99" s="47"/>
      <c r="R99" s="47"/>
      <c r="S99" s="47"/>
      <c r="T99" s="47"/>
      <c r="U99" s="47"/>
    </row>
    <row r="100" spans="1:22" s="106" customFormat="1" ht="19">
      <c r="A100" s="105"/>
      <c r="B100" s="112" t="s">
        <v>143</v>
      </c>
      <c r="E100" s="127" t="s">
        <v>268</v>
      </c>
      <c r="F100" s="127"/>
      <c r="I100" s="128"/>
      <c r="J100" s="128"/>
      <c r="K100" s="105"/>
      <c r="L100" s="105"/>
      <c r="M100" s="107"/>
      <c r="N100" s="107"/>
      <c r="O100" s="107"/>
      <c r="P100" s="107"/>
      <c r="Q100" s="107"/>
      <c r="R100" s="107"/>
      <c r="S100" s="107"/>
      <c r="T100" s="107"/>
      <c r="U100" s="107"/>
    </row>
    <row r="101" spans="1:22" s="53" customFormat="1" ht="19">
      <c r="A101" s="52"/>
      <c r="B101" s="54" t="s">
        <v>144</v>
      </c>
      <c r="D101" s="132" t="s">
        <v>269</v>
      </c>
      <c r="E101" s="132"/>
      <c r="F101" s="132"/>
      <c r="G101" s="132"/>
      <c r="I101" s="129"/>
      <c r="J101" s="129"/>
      <c r="K101" s="52"/>
      <c r="L101" s="52"/>
      <c r="M101" s="47"/>
      <c r="N101" s="47"/>
      <c r="O101" s="47"/>
      <c r="P101" s="47"/>
      <c r="Q101" s="47"/>
      <c r="R101" s="47"/>
      <c r="S101" s="47"/>
      <c r="T101" s="47"/>
      <c r="U101" s="47"/>
    </row>
    <row r="102" spans="1:22" s="53" customFormat="1" ht="19">
      <c r="A102" s="52"/>
      <c r="B102" s="54"/>
      <c r="E102" s="54"/>
      <c r="F102" s="52"/>
      <c r="J102" s="102"/>
      <c r="K102" s="52"/>
      <c r="L102" s="52"/>
      <c r="M102" s="47"/>
      <c r="N102" s="47"/>
      <c r="O102" s="47"/>
      <c r="P102" s="47"/>
      <c r="Q102" s="47"/>
      <c r="R102" s="47"/>
      <c r="S102" s="47"/>
      <c r="T102" s="47"/>
      <c r="U102" s="47"/>
    </row>
    <row r="103" spans="1:22" s="48" customFormat="1" ht="19">
      <c r="A103" s="47"/>
      <c r="B103" s="123" t="s">
        <v>47</v>
      </c>
      <c r="C103" s="123"/>
      <c r="E103" s="124" t="s">
        <v>47</v>
      </c>
      <c r="F103" s="124"/>
      <c r="I103" s="125"/>
      <c r="J103" s="125"/>
      <c r="K103" s="47"/>
      <c r="L103" s="47"/>
      <c r="M103" s="47"/>
      <c r="N103" s="47"/>
      <c r="O103" s="47"/>
      <c r="P103" s="47"/>
      <c r="Q103" s="47"/>
      <c r="R103" s="47"/>
      <c r="S103" s="47"/>
      <c r="T103" s="47"/>
      <c r="U103" s="47"/>
      <c r="V103" s="47"/>
    </row>
    <row r="104" spans="1:22" ht="15.75" customHeight="1">
      <c r="A104" s="9"/>
      <c r="B104" s="17"/>
      <c r="C104" s="17"/>
      <c r="D104" s="18"/>
      <c r="E104" s="18"/>
      <c r="F104" s="18"/>
      <c r="G104" s="18"/>
      <c r="H104" s="18"/>
      <c r="I104" s="3"/>
      <c r="K104" s="9"/>
      <c r="L104" s="9"/>
      <c r="M104" s="9"/>
      <c r="N104" s="9"/>
      <c r="O104" s="9"/>
      <c r="P104" s="9"/>
      <c r="Q104" s="9"/>
      <c r="R104" s="9"/>
      <c r="S104" s="9"/>
      <c r="T104" s="9"/>
      <c r="U104" s="9"/>
      <c r="V104" s="9"/>
    </row>
    <row r="105" spans="1:22" ht="15.75" customHeight="1">
      <c r="A105" s="9"/>
      <c r="B105" s="10"/>
      <c r="C105" s="10"/>
      <c r="D105" s="9"/>
      <c r="E105" s="9"/>
      <c r="F105" s="9"/>
      <c r="G105" s="9"/>
      <c r="H105" s="9"/>
      <c r="I105" s="3"/>
      <c r="K105" s="9"/>
      <c r="L105" s="9"/>
      <c r="M105" s="9"/>
      <c r="N105" s="9"/>
      <c r="O105" s="9"/>
      <c r="P105" s="9"/>
      <c r="Q105" s="9"/>
      <c r="R105" s="9"/>
      <c r="S105" s="9"/>
      <c r="T105" s="9"/>
      <c r="U105" s="9"/>
      <c r="V105" s="9"/>
    </row>
    <row r="106" spans="1:22" ht="15.75" customHeight="1">
      <c r="A106" s="9"/>
      <c r="B106" s="10"/>
      <c r="C106" s="10"/>
      <c r="D106" s="9"/>
      <c r="E106" s="9"/>
      <c r="F106" s="9"/>
      <c r="G106" s="9"/>
      <c r="H106" s="9"/>
      <c r="I106" s="3"/>
      <c r="K106" s="9"/>
      <c r="L106" s="9"/>
      <c r="M106" s="9"/>
      <c r="N106" s="9"/>
      <c r="O106" s="9"/>
      <c r="P106" s="9"/>
      <c r="Q106" s="9"/>
      <c r="R106" s="9"/>
      <c r="S106" s="9"/>
      <c r="T106" s="9"/>
      <c r="U106" s="9"/>
      <c r="V106" s="9"/>
    </row>
    <row r="107" spans="1:22" ht="15.75" customHeight="1">
      <c r="A107" s="9"/>
      <c r="B107" s="10"/>
      <c r="C107" s="10"/>
      <c r="D107" s="9"/>
      <c r="E107" s="9"/>
      <c r="F107" s="9"/>
      <c r="G107" s="9"/>
      <c r="H107" s="9"/>
      <c r="I107" s="3"/>
      <c r="J107" s="103"/>
      <c r="K107" s="9"/>
      <c r="L107" s="9"/>
      <c r="M107" s="9"/>
      <c r="N107" s="9"/>
      <c r="O107" s="9"/>
      <c r="P107" s="9"/>
      <c r="Q107" s="9"/>
      <c r="R107" s="9"/>
      <c r="S107" s="9"/>
      <c r="T107" s="9"/>
      <c r="U107" s="9"/>
      <c r="V107" s="9"/>
    </row>
    <row r="108" spans="1:22" ht="15.75" customHeight="1">
      <c r="A108" s="9"/>
      <c r="B108" s="10"/>
      <c r="C108" s="10"/>
      <c r="D108" s="9"/>
      <c r="E108" s="9"/>
      <c r="F108" s="9"/>
      <c r="G108" s="9"/>
      <c r="H108" s="9"/>
      <c r="I108" s="3"/>
      <c r="J108" s="103"/>
      <c r="K108" s="9"/>
      <c r="L108" s="9"/>
      <c r="M108" s="9"/>
      <c r="N108" s="9"/>
      <c r="O108" s="9"/>
      <c r="P108" s="9"/>
      <c r="Q108" s="9"/>
      <c r="R108" s="9"/>
      <c r="S108" s="9"/>
      <c r="T108" s="9"/>
      <c r="U108" s="9"/>
      <c r="V108" s="9"/>
    </row>
    <row r="109" spans="1:22" ht="15.75" customHeight="1">
      <c r="A109" s="9"/>
      <c r="B109" s="10"/>
      <c r="C109" s="10"/>
      <c r="D109" s="9"/>
      <c r="E109" s="9"/>
      <c r="F109" s="9"/>
      <c r="G109" s="9"/>
      <c r="H109" s="9"/>
      <c r="I109" s="9"/>
      <c r="J109" s="103"/>
      <c r="K109" s="9"/>
      <c r="L109" s="9"/>
      <c r="M109" s="9"/>
      <c r="N109" s="9"/>
      <c r="O109" s="9"/>
      <c r="P109" s="9"/>
      <c r="Q109" s="9"/>
      <c r="R109" s="9"/>
      <c r="S109" s="9"/>
      <c r="T109" s="9"/>
      <c r="U109" s="9"/>
      <c r="V109" s="9"/>
    </row>
    <row r="110" spans="1:22" ht="15.75" customHeight="1">
      <c r="A110" s="9"/>
      <c r="B110" s="10"/>
      <c r="C110" s="10"/>
      <c r="D110" s="9"/>
      <c r="E110" s="9"/>
      <c r="F110" s="9"/>
      <c r="G110" s="9"/>
      <c r="H110" s="9"/>
      <c r="I110" s="9"/>
      <c r="J110" s="103"/>
      <c r="K110" s="9"/>
      <c r="L110" s="9"/>
      <c r="M110" s="9"/>
      <c r="N110" s="9"/>
      <c r="O110" s="9"/>
      <c r="P110" s="9"/>
      <c r="Q110" s="9"/>
      <c r="R110" s="9"/>
      <c r="S110" s="9"/>
      <c r="T110" s="9"/>
      <c r="U110" s="9"/>
      <c r="V110" s="9"/>
    </row>
    <row r="111" spans="1:22" ht="15.75" customHeight="1">
      <c r="A111" s="9"/>
      <c r="B111" s="10"/>
      <c r="C111" s="10"/>
      <c r="D111" s="9"/>
      <c r="E111" s="9"/>
      <c r="F111" s="9"/>
      <c r="G111" s="9"/>
      <c r="H111" s="9"/>
      <c r="I111" s="9"/>
      <c r="J111" s="103"/>
      <c r="K111" s="9"/>
      <c r="L111" s="9"/>
      <c r="M111" s="9"/>
      <c r="N111" s="9"/>
      <c r="O111" s="9"/>
      <c r="P111" s="9"/>
      <c r="Q111" s="9"/>
      <c r="R111" s="9"/>
      <c r="S111" s="9"/>
      <c r="T111" s="9"/>
      <c r="U111" s="9"/>
      <c r="V111" s="9"/>
    </row>
    <row r="112" spans="1:22" ht="15.75" customHeight="1">
      <c r="A112" s="9"/>
      <c r="B112" s="10"/>
      <c r="C112" s="10"/>
      <c r="D112" s="9"/>
      <c r="E112" s="9"/>
      <c r="F112" s="9"/>
      <c r="G112" s="9"/>
      <c r="H112" s="9"/>
      <c r="I112" s="9"/>
      <c r="J112" s="103"/>
      <c r="K112" s="9"/>
      <c r="L112" s="9"/>
      <c r="M112" s="9"/>
      <c r="N112" s="9"/>
      <c r="O112" s="9"/>
      <c r="P112" s="9"/>
      <c r="Q112" s="9"/>
      <c r="R112" s="9"/>
      <c r="S112" s="9"/>
      <c r="T112" s="9"/>
      <c r="U112" s="9"/>
      <c r="V112" s="9"/>
    </row>
    <row r="113" spans="1:22" ht="15.75" customHeight="1">
      <c r="A113" s="9"/>
      <c r="B113" s="10"/>
      <c r="C113" s="10"/>
      <c r="D113" s="9"/>
      <c r="E113" s="9"/>
      <c r="F113" s="9"/>
      <c r="G113" s="9"/>
      <c r="H113" s="9"/>
      <c r="I113" s="9"/>
      <c r="J113" s="103"/>
      <c r="K113" s="9"/>
      <c r="L113" s="9"/>
      <c r="M113" s="9"/>
      <c r="N113" s="9"/>
      <c r="O113" s="9"/>
      <c r="P113" s="9"/>
      <c r="Q113" s="9"/>
      <c r="R113" s="9"/>
      <c r="S113" s="9"/>
      <c r="T113" s="9"/>
      <c r="U113" s="9"/>
      <c r="V113" s="9"/>
    </row>
    <row r="114" spans="1:22" ht="15.75" customHeight="1">
      <c r="A114" s="9"/>
      <c r="B114" s="10"/>
      <c r="C114" s="10"/>
      <c r="D114" s="9"/>
      <c r="E114" s="9"/>
      <c r="F114" s="9"/>
      <c r="G114" s="9"/>
      <c r="H114" s="9"/>
      <c r="I114" s="9"/>
      <c r="J114" s="103"/>
      <c r="K114" s="9"/>
      <c r="L114" s="9"/>
      <c r="M114" s="9"/>
      <c r="N114" s="9"/>
      <c r="O114" s="9"/>
      <c r="P114" s="9"/>
      <c r="Q114" s="9"/>
      <c r="R114" s="9"/>
      <c r="S114" s="9"/>
      <c r="T114" s="9"/>
      <c r="U114" s="9"/>
      <c r="V114" s="9"/>
    </row>
    <row r="115" spans="1:22" ht="15.75" customHeight="1">
      <c r="A115" s="9"/>
      <c r="B115" s="10"/>
      <c r="C115" s="10"/>
      <c r="D115" s="9"/>
      <c r="E115" s="9"/>
      <c r="F115" s="9"/>
      <c r="G115" s="9"/>
      <c r="H115" s="9"/>
      <c r="I115" s="9"/>
      <c r="J115" s="103"/>
      <c r="K115" s="9"/>
      <c r="L115" s="9"/>
      <c r="M115" s="9"/>
      <c r="N115" s="9"/>
      <c r="O115" s="9"/>
      <c r="P115" s="9"/>
      <c r="Q115" s="9"/>
      <c r="R115" s="9"/>
      <c r="S115" s="9"/>
      <c r="T115" s="9"/>
      <c r="U115" s="9"/>
      <c r="V115" s="9"/>
    </row>
    <row r="116" spans="1:22" ht="15.75" customHeight="1">
      <c r="A116" s="9"/>
      <c r="B116" s="10"/>
      <c r="C116" s="10"/>
      <c r="D116" s="9"/>
      <c r="E116" s="9"/>
      <c r="F116" s="9"/>
      <c r="G116" s="9"/>
      <c r="H116" s="9"/>
      <c r="I116" s="9"/>
      <c r="J116" s="103"/>
      <c r="K116" s="9"/>
      <c r="L116" s="9"/>
      <c r="M116" s="9"/>
      <c r="N116" s="9"/>
      <c r="O116" s="9"/>
      <c r="P116" s="9"/>
      <c r="Q116" s="9"/>
      <c r="R116" s="9"/>
      <c r="S116" s="9"/>
      <c r="T116" s="9"/>
      <c r="U116" s="9"/>
      <c r="V116" s="9"/>
    </row>
    <row r="117" spans="1:22" ht="15.75" customHeight="1">
      <c r="A117" s="9"/>
      <c r="B117" s="10"/>
      <c r="C117" s="10"/>
      <c r="D117" s="9"/>
      <c r="E117" s="9"/>
      <c r="F117" s="9"/>
      <c r="G117" s="9"/>
      <c r="H117" s="9"/>
      <c r="I117" s="9"/>
      <c r="J117" s="103"/>
      <c r="K117" s="9"/>
      <c r="L117" s="9"/>
      <c r="M117" s="9"/>
      <c r="N117" s="9"/>
      <c r="O117" s="9"/>
      <c r="P117" s="9"/>
      <c r="Q117" s="9"/>
      <c r="R117" s="9"/>
      <c r="S117" s="9"/>
      <c r="T117" s="9"/>
      <c r="U117" s="9"/>
      <c r="V117" s="9"/>
    </row>
    <row r="118" spans="1:22" ht="15.75" customHeight="1">
      <c r="A118" s="9"/>
      <c r="B118" s="10"/>
      <c r="C118" s="10"/>
      <c r="D118" s="9"/>
      <c r="E118" s="9"/>
      <c r="F118" s="9"/>
      <c r="G118" s="9"/>
      <c r="H118" s="9"/>
      <c r="I118" s="9"/>
      <c r="J118" s="103"/>
      <c r="K118" s="9"/>
      <c r="L118" s="9"/>
      <c r="M118" s="9"/>
      <c r="N118" s="9"/>
      <c r="O118" s="9"/>
      <c r="P118" s="9"/>
      <c r="Q118" s="9"/>
      <c r="R118" s="9"/>
      <c r="S118" s="9"/>
      <c r="T118" s="9"/>
      <c r="U118" s="9"/>
      <c r="V118" s="9"/>
    </row>
    <row r="119" spans="1:22" ht="15.75" customHeight="1">
      <c r="A119" s="9"/>
      <c r="B119" s="10"/>
      <c r="C119" s="10"/>
      <c r="D119" s="9"/>
      <c r="E119" s="9"/>
      <c r="F119" s="9"/>
      <c r="G119" s="9"/>
      <c r="H119" s="9"/>
      <c r="I119" s="9"/>
      <c r="J119" s="103"/>
      <c r="K119" s="9"/>
      <c r="L119" s="9"/>
      <c r="M119" s="9"/>
      <c r="N119" s="9"/>
      <c r="O119" s="9"/>
      <c r="P119" s="9"/>
      <c r="Q119" s="9"/>
      <c r="R119" s="9"/>
      <c r="S119" s="9"/>
      <c r="T119" s="9"/>
      <c r="U119" s="9"/>
      <c r="V119" s="9"/>
    </row>
    <row r="120" spans="1:22" ht="15.75" customHeight="1">
      <c r="A120" s="9"/>
      <c r="B120" s="10"/>
      <c r="C120" s="10"/>
      <c r="D120" s="9"/>
      <c r="E120" s="9"/>
      <c r="F120" s="9"/>
      <c r="G120" s="9"/>
      <c r="H120" s="9"/>
      <c r="I120" s="9"/>
      <c r="J120" s="103"/>
      <c r="K120" s="9"/>
      <c r="L120" s="9"/>
      <c r="M120" s="9"/>
      <c r="N120" s="9"/>
      <c r="O120" s="9"/>
      <c r="P120" s="9"/>
      <c r="Q120" s="9"/>
      <c r="R120" s="9"/>
      <c r="S120" s="9"/>
      <c r="T120" s="9"/>
      <c r="U120" s="9"/>
      <c r="V120" s="9"/>
    </row>
    <row r="121" spans="1:22" ht="15.75" customHeight="1">
      <c r="A121" s="9"/>
      <c r="B121" s="10"/>
      <c r="C121" s="10"/>
      <c r="D121" s="9"/>
      <c r="E121" s="9"/>
      <c r="F121" s="9"/>
      <c r="G121" s="9"/>
      <c r="H121" s="9"/>
      <c r="I121" s="9"/>
      <c r="J121" s="103"/>
      <c r="K121" s="9"/>
      <c r="L121" s="9"/>
      <c r="M121" s="9"/>
      <c r="N121" s="9"/>
      <c r="O121" s="9"/>
      <c r="P121" s="9"/>
      <c r="Q121" s="9"/>
      <c r="R121" s="9"/>
      <c r="S121" s="9"/>
      <c r="T121" s="9"/>
      <c r="U121" s="9"/>
      <c r="V121" s="9"/>
    </row>
    <row r="122" spans="1:22" ht="15.75" customHeight="1">
      <c r="A122" s="9"/>
      <c r="B122" s="10"/>
      <c r="C122" s="10"/>
      <c r="D122" s="9"/>
      <c r="E122" s="9"/>
      <c r="F122" s="9"/>
      <c r="G122" s="9"/>
      <c r="H122" s="9"/>
      <c r="I122" s="9"/>
      <c r="J122" s="103"/>
      <c r="K122" s="9"/>
      <c r="L122" s="9"/>
      <c r="M122" s="9"/>
      <c r="N122" s="9"/>
      <c r="O122" s="9"/>
      <c r="P122" s="9"/>
      <c r="Q122" s="9"/>
      <c r="R122" s="9"/>
      <c r="S122" s="9"/>
      <c r="T122" s="9"/>
      <c r="U122" s="9"/>
      <c r="V122" s="9"/>
    </row>
    <row r="123" spans="1:22" ht="15.75" customHeight="1">
      <c r="A123" s="9"/>
      <c r="B123" s="10"/>
      <c r="C123" s="10"/>
      <c r="D123" s="9"/>
      <c r="E123" s="9"/>
      <c r="F123" s="9"/>
      <c r="G123" s="9"/>
      <c r="H123" s="9"/>
      <c r="I123" s="9"/>
      <c r="J123" s="103"/>
      <c r="K123" s="9"/>
      <c r="L123" s="9"/>
      <c r="M123" s="9"/>
      <c r="N123" s="9"/>
      <c r="O123" s="9"/>
      <c r="P123" s="9"/>
      <c r="Q123" s="9"/>
      <c r="R123" s="9"/>
      <c r="S123" s="9"/>
      <c r="T123" s="9"/>
      <c r="U123" s="9"/>
      <c r="V123" s="9"/>
    </row>
    <row r="124" spans="1:22" ht="15.75" customHeight="1">
      <c r="A124" s="9"/>
      <c r="B124" s="10"/>
      <c r="C124" s="10"/>
      <c r="D124" s="9"/>
      <c r="E124" s="9"/>
      <c r="F124" s="9"/>
      <c r="G124" s="9"/>
      <c r="H124" s="9"/>
      <c r="I124" s="9"/>
      <c r="J124" s="103"/>
      <c r="K124" s="9"/>
      <c r="L124" s="9"/>
      <c r="M124" s="9"/>
      <c r="N124" s="9"/>
      <c r="O124" s="9"/>
      <c r="P124" s="9"/>
      <c r="Q124" s="9"/>
      <c r="R124" s="9"/>
      <c r="S124" s="9"/>
      <c r="T124" s="9"/>
      <c r="U124" s="9"/>
      <c r="V124" s="9"/>
    </row>
    <row r="125" spans="1:22" ht="15.75" customHeight="1">
      <c r="A125" s="9"/>
      <c r="B125" s="10"/>
      <c r="C125" s="10"/>
      <c r="D125" s="9"/>
      <c r="E125" s="9"/>
      <c r="F125" s="9"/>
      <c r="G125" s="9"/>
      <c r="H125" s="9"/>
      <c r="I125" s="9"/>
      <c r="J125" s="103"/>
      <c r="K125" s="9"/>
      <c r="L125" s="9"/>
      <c r="M125" s="9"/>
      <c r="N125" s="9"/>
      <c r="O125" s="9"/>
      <c r="P125" s="9"/>
      <c r="Q125" s="9"/>
      <c r="R125" s="9"/>
      <c r="S125" s="9"/>
      <c r="T125" s="9"/>
      <c r="U125" s="9"/>
      <c r="V125" s="9"/>
    </row>
    <row r="126" spans="1:22" ht="15.75" customHeight="1">
      <c r="A126" s="9"/>
      <c r="B126" s="10"/>
      <c r="C126" s="10"/>
      <c r="D126" s="9"/>
      <c r="E126" s="9"/>
      <c r="F126" s="9"/>
      <c r="G126" s="9"/>
      <c r="H126" s="9"/>
      <c r="I126" s="9"/>
      <c r="J126" s="103"/>
      <c r="K126" s="9"/>
      <c r="L126" s="9"/>
      <c r="M126" s="9"/>
      <c r="N126" s="9"/>
      <c r="O126" s="9"/>
      <c r="P126" s="9"/>
      <c r="Q126" s="9"/>
      <c r="R126" s="9"/>
      <c r="S126" s="9"/>
      <c r="T126" s="9"/>
      <c r="U126" s="9"/>
      <c r="V126" s="9"/>
    </row>
    <row r="127" spans="1:22" ht="15.75" customHeight="1">
      <c r="A127" s="9"/>
      <c r="B127" s="10"/>
      <c r="C127" s="10"/>
      <c r="D127" s="9"/>
      <c r="E127" s="9"/>
      <c r="F127" s="9"/>
      <c r="G127" s="9"/>
      <c r="H127" s="9"/>
      <c r="I127" s="9"/>
      <c r="J127" s="103"/>
      <c r="K127" s="9"/>
      <c r="L127" s="9"/>
      <c r="M127" s="9"/>
      <c r="N127" s="9"/>
      <c r="O127" s="9"/>
      <c r="P127" s="9"/>
      <c r="Q127" s="9"/>
      <c r="R127" s="9"/>
      <c r="S127" s="9"/>
      <c r="T127" s="9"/>
      <c r="U127" s="9"/>
      <c r="V127" s="9"/>
    </row>
    <row r="128" spans="1:22" ht="15.75" customHeight="1">
      <c r="A128" s="9"/>
      <c r="B128" s="10"/>
      <c r="C128" s="10"/>
      <c r="D128" s="9"/>
      <c r="E128" s="9"/>
      <c r="F128" s="9"/>
      <c r="G128" s="9"/>
      <c r="H128" s="9"/>
      <c r="I128" s="9"/>
      <c r="J128" s="103"/>
      <c r="K128" s="9"/>
      <c r="L128" s="9"/>
      <c r="M128" s="9"/>
      <c r="N128" s="9"/>
      <c r="O128" s="9"/>
      <c r="P128" s="9"/>
      <c r="Q128" s="9"/>
      <c r="R128" s="9"/>
      <c r="S128" s="9"/>
      <c r="T128" s="9"/>
      <c r="U128" s="9"/>
      <c r="V128" s="9"/>
    </row>
    <row r="129" spans="1:22" ht="15.75" customHeight="1">
      <c r="A129" s="9"/>
      <c r="B129" s="10"/>
      <c r="C129" s="10"/>
      <c r="D129" s="9"/>
      <c r="E129" s="9"/>
      <c r="F129" s="9"/>
      <c r="G129" s="9"/>
      <c r="H129" s="9"/>
      <c r="I129" s="9"/>
      <c r="J129" s="103"/>
      <c r="K129" s="9"/>
      <c r="L129" s="9"/>
      <c r="M129" s="9"/>
      <c r="N129" s="9"/>
      <c r="O129" s="9"/>
      <c r="P129" s="9"/>
      <c r="Q129" s="9"/>
      <c r="R129" s="9"/>
      <c r="S129" s="9"/>
      <c r="T129" s="9"/>
      <c r="U129" s="9"/>
      <c r="V129" s="9"/>
    </row>
    <row r="130" spans="1:22" ht="15.75" customHeight="1">
      <c r="A130" s="9"/>
      <c r="B130" s="10"/>
      <c r="C130" s="10"/>
      <c r="D130" s="9"/>
      <c r="E130" s="9"/>
      <c r="F130" s="9"/>
      <c r="G130" s="9"/>
      <c r="H130" s="9"/>
      <c r="I130" s="9"/>
      <c r="J130" s="103"/>
      <c r="K130" s="9"/>
      <c r="L130" s="9"/>
      <c r="M130" s="9"/>
      <c r="N130" s="9"/>
      <c r="O130" s="9"/>
      <c r="P130" s="9"/>
      <c r="Q130" s="9"/>
      <c r="R130" s="9"/>
      <c r="S130" s="9"/>
      <c r="T130" s="9"/>
      <c r="U130" s="9"/>
      <c r="V130" s="9"/>
    </row>
    <row r="131" spans="1:22" ht="15.75" customHeight="1">
      <c r="A131" s="9"/>
      <c r="B131" s="10"/>
      <c r="C131" s="10"/>
      <c r="D131" s="9"/>
      <c r="E131" s="9"/>
      <c r="F131" s="9"/>
      <c r="G131" s="9"/>
      <c r="H131" s="9"/>
      <c r="I131" s="9"/>
      <c r="J131" s="103"/>
      <c r="K131" s="9"/>
      <c r="L131" s="9"/>
      <c r="M131" s="9"/>
      <c r="N131" s="9"/>
      <c r="O131" s="9"/>
      <c r="P131" s="9"/>
      <c r="Q131" s="9"/>
      <c r="R131" s="9"/>
      <c r="S131" s="9"/>
      <c r="T131" s="9"/>
      <c r="U131" s="9"/>
      <c r="V131" s="9"/>
    </row>
    <row r="132" spans="1:22" ht="15.75" customHeight="1">
      <c r="A132" s="9"/>
      <c r="B132" s="10"/>
      <c r="C132" s="10"/>
      <c r="D132" s="9"/>
      <c r="E132" s="9"/>
      <c r="F132" s="9"/>
      <c r="G132" s="9"/>
      <c r="H132" s="9"/>
      <c r="I132" s="9"/>
      <c r="J132" s="103"/>
      <c r="K132" s="9"/>
      <c r="L132" s="9"/>
      <c r="M132" s="9"/>
      <c r="N132" s="9"/>
      <c r="O132" s="9"/>
      <c r="P132" s="9"/>
      <c r="Q132" s="9"/>
      <c r="R132" s="9"/>
      <c r="S132" s="9"/>
      <c r="T132" s="9"/>
      <c r="U132" s="9"/>
      <c r="V132" s="9"/>
    </row>
    <row r="133" spans="1:22" ht="15.75" customHeight="1">
      <c r="A133" s="9"/>
      <c r="B133" s="10"/>
      <c r="C133" s="10"/>
      <c r="D133" s="9"/>
      <c r="E133" s="9"/>
      <c r="F133" s="9"/>
      <c r="G133" s="9"/>
      <c r="H133" s="9"/>
      <c r="I133" s="9"/>
      <c r="J133" s="103"/>
      <c r="K133" s="9"/>
      <c r="L133" s="9"/>
      <c r="M133" s="9"/>
      <c r="N133" s="9"/>
      <c r="O133" s="9"/>
      <c r="P133" s="9"/>
      <c r="Q133" s="9"/>
      <c r="R133" s="9"/>
      <c r="S133" s="9"/>
      <c r="T133" s="9"/>
      <c r="U133" s="9"/>
      <c r="V133" s="9"/>
    </row>
    <row r="134" spans="1:22" ht="15.75" customHeight="1">
      <c r="A134" s="9"/>
      <c r="B134" s="10"/>
      <c r="C134" s="10"/>
      <c r="D134" s="9"/>
      <c r="E134" s="9"/>
      <c r="F134" s="9"/>
      <c r="G134" s="9"/>
      <c r="H134" s="9"/>
      <c r="I134" s="9"/>
      <c r="J134" s="103"/>
      <c r="K134" s="9"/>
      <c r="L134" s="9"/>
      <c r="M134" s="9"/>
      <c r="N134" s="9"/>
      <c r="O134" s="9"/>
      <c r="P134" s="9"/>
      <c r="Q134" s="9"/>
      <c r="R134" s="9"/>
      <c r="S134" s="9"/>
      <c r="T134" s="9"/>
      <c r="U134" s="9"/>
      <c r="V134" s="9"/>
    </row>
    <row r="135" spans="1:22" ht="15.75" customHeight="1">
      <c r="A135" s="9"/>
      <c r="B135" s="10"/>
      <c r="C135" s="10"/>
      <c r="D135" s="9"/>
      <c r="E135" s="9"/>
      <c r="F135" s="9"/>
      <c r="G135" s="9"/>
      <c r="H135" s="9"/>
      <c r="I135" s="9"/>
      <c r="J135" s="103"/>
      <c r="K135" s="9"/>
      <c r="L135" s="9"/>
      <c r="M135" s="9"/>
      <c r="N135" s="9"/>
      <c r="O135" s="9"/>
      <c r="P135" s="9"/>
      <c r="Q135" s="9"/>
      <c r="R135" s="9"/>
      <c r="S135" s="9"/>
      <c r="T135" s="9"/>
      <c r="U135" s="9"/>
      <c r="V135" s="9"/>
    </row>
    <row r="136" spans="1:22" ht="15.75" customHeight="1">
      <c r="A136" s="9"/>
      <c r="B136" s="10"/>
      <c r="C136" s="10"/>
      <c r="D136" s="9"/>
      <c r="E136" s="9"/>
      <c r="F136" s="9"/>
      <c r="G136" s="9"/>
      <c r="H136" s="9"/>
      <c r="I136" s="9"/>
      <c r="J136" s="103"/>
      <c r="K136" s="9"/>
      <c r="L136" s="9"/>
      <c r="M136" s="9"/>
      <c r="N136" s="9"/>
      <c r="O136" s="9"/>
      <c r="P136" s="9"/>
      <c r="Q136" s="9"/>
      <c r="R136" s="9"/>
      <c r="S136" s="9"/>
      <c r="T136" s="9"/>
      <c r="U136" s="9"/>
      <c r="V136" s="9"/>
    </row>
    <row r="137" spans="1:22" ht="15.75" customHeight="1">
      <c r="A137" s="9"/>
      <c r="B137" s="10"/>
      <c r="C137" s="10"/>
      <c r="D137" s="9"/>
      <c r="E137" s="9"/>
      <c r="F137" s="9"/>
      <c r="G137" s="9"/>
      <c r="H137" s="9"/>
      <c r="I137" s="9"/>
      <c r="J137" s="103"/>
      <c r="K137" s="9"/>
      <c r="L137" s="9"/>
      <c r="M137" s="9"/>
      <c r="N137" s="9"/>
      <c r="O137" s="9"/>
      <c r="P137" s="9"/>
      <c r="Q137" s="9"/>
      <c r="R137" s="9"/>
      <c r="S137" s="9"/>
      <c r="T137" s="9"/>
      <c r="U137" s="9"/>
      <c r="V137" s="9"/>
    </row>
    <row r="138" spans="1:22" ht="15.75" customHeight="1">
      <c r="A138" s="9"/>
      <c r="B138" s="10"/>
      <c r="C138" s="10"/>
      <c r="D138" s="9"/>
      <c r="E138" s="9"/>
      <c r="F138" s="9"/>
      <c r="G138" s="9"/>
      <c r="H138" s="9"/>
      <c r="I138" s="9"/>
      <c r="J138" s="103"/>
      <c r="K138" s="9"/>
      <c r="L138" s="9"/>
      <c r="M138" s="9"/>
      <c r="N138" s="9"/>
      <c r="O138" s="9"/>
      <c r="P138" s="9"/>
      <c r="Q138" s="9"/>
      <c r="R138" s="9"/>
      <c r="S138" s="9"/>
      <c r="T138" s="9"/>
      <c r="U138" s="9"/>
      <c r="V138" s="9"/>
    </row>
    <row r="139" spans="1:22" ht="15.75" customHeight="1">
      <c r="A139" s="9"/>
      <c r="B139" s="10"/>
      <c r="C139" s="10"/>
      <c r="D139" s="9"/>
      <c r="E139" s="9"/>
      <c r="F139" s="9"/>
      <c r="G139" s="9"/>
      <c r="H139" s="9"/>
      <c r="I139" s="9"/>
      <c r="J139" s="103"/>
      <c r="K139" s="9"/>
      <c r="L139" s="9"/>
      <c r="M139" s="9"/>
      <c r="N139" s="9"/>
      <c r="O139" s="9"/>
      <c r="P139" s="9"/>
      <c r="Q139" s="9"/>
      <c r="R139" s="9"/>
      <c r="S139" s="9"/>
      <c r="T139" s="9"/>
      <c r="U139" s="9"/>
      <c r="V139" s="9"/>
    </row>
    <row r="140" spans="1:22" ht="15.75" customHeight="1">
      <c r="A140" s="9"/>
      <c r="B140" s="10"/>
      <c r="C140" s="10"/>
      <c r="D140" s="9"/>
      <c r="E140" s="9"/>
      <c r="F140" s="9"/>
      <c r="G140" s="9"/>
      <c r="H140" s="9"/>
      <c r="I140" s="9"/>
      <c r="J140" s="103"/>
      <c r="K140" s="9"/>
      <c r="L140" s="9"/>
      <c r="M140" s="9"/>
      <c r="N140" s="9"/>
      <c r="O140" s="9"/>
      <c r="P140" s="9"/>
      <c r="Q140" s="9"/>
      <c r="R140" s="9"/>
      <c r="S140" s="9"/>
      <c r="T140" s="9"/>
      <c r="U140" s="9"/>
      <c r="V140" s="9"/>
    </row>
    <row r="141" spans="1:22" ht="15.75" customHeight="1">
      <c r="A141" s="9"/>
      <c r="B141" s="10"/>
      <c r="C141" s="10"/>
      <c r="D141" s="9"/>
      <c r="E141" s="9"/>
      <c r="F141" s="9"/>
      <c r="G141" s="9"/>
      <c r="H141" s="9"/>
      <c r="I141" s="9"/>
      <c r="J141" s="103"/>
      <c r="K141" s="9"/>
      <c r="L141" s="9"/>
      <c r="M141" s="9"/>
      <c r="N141" s="9"/>
      <c r="O141" s="9"/>
      <c r="P141" s="9"/>
      <c r="Q141" s="9"/>
      <c r="R141" s="9"/>
      <c r="S141" s="9"/>
      <c r="T141" s="9"/>
      <c r="U141" s="9"/>
      <c r="V141" s="9"/>
    </row>
    <row r="142" spans="1:22" ht="15.75" customHeight="1">
      <c r="A142" s="9"/>
      <c r="B142" s="10"/>
      <c r="C142" s="10"/>
      <c r="D142" s="9"/>
      <c r="E142" s="9"/>
      <c r="F142" s="9"/>
      <c r="G142" s="9"/>
      <c r="H142" s="9"/>
      <c r="I142" s="9"/>
      <c r="J142" s="103"/>
      <c r="K142" s="9"/>
      <c r="L142" s="9"/>
      <c r="M142" s="9"/>
      <c r="N142" s="9"/>
      <c r="O142" s="9"/>
      <c r="P142" s="9"/>
      <c r="Q142" s="9"/>
      <c r="R142" s="9"/>
      <c r="S142" s="9"/>
      <c r="T142" s="9"/>
      <c r="U142" s="9"/>
      <c r="V142" s="9"/>
    </row>
    <row r="143" spans="1:22" ht="15.75" customHeight="1">
      <c r="A143" s="9"/>
      <c r="B143" s="10"/>
      <c r="C143" s="10"/>
      <c r="D143" s="9"/>
      <c r="E143" s="9"/>
      <c r="F143" s="9"/>
      <c r="G143" s="9"/>
      <c r="H143" s="9"/>
      <c r="I143" s="9"/>
      <c r="J143" s="103"/>
      <c r="K143" s="9"/>
      <c r="L143" s="9"/>
      <c r="M143" s="9"/>
      <c r="N143" s="9"/>
      <c r="O143" s="9"/>
      <c r="P143" s="9"/>
      <c r="Q143" s="9"/>
      <c r="R143" s="9"/>
      <c r="S143" s="9"/>
      <c r="T143" s="9"/>
      <c r="U143" s="9"/>
      <c r="V143" s="9"/>
    </row>
    <row r="144" spans="1:22" ht="15.75" customHeight="1">
      <c r="A144" s="9"/>
      <c r="B144" s="10"/>
      <c r="C144" s="10"/>
      <c r="D144" s="9"/>
      <c r="E144" s="9"/>
      <c r="F144" s="9"/>
      <c r="G144" s="9"/>
      <c r="H144" s="9"/>
      <c r="I144" s="9"/>
      <c r="J144" s="103"/>
      <c r="K144" s="9"/>
      <c r="L144" s="9"/>
      <c r="M144" s="9"/>
      <c r="N144" s="9"/>
      <c r="O144" s="9"/>
      <c r="P144" s="9"/>
      <c r="Q144" s="9"/>
      <c r="R144" s="9"/>
      <c r="S144" s="9"/>
      <c r="T144" s="9"/>
      <c r="U144" s="9"/>
      <c r="V144" s="9"/>
    </row>
    <row r="145" spans="1:22" ht="15.75" customHeight="1">
      <c r="A145" s="9"/>
      <c r="B145" s="10"/>
      <c r="C145" s="10"/>
      <c r="D145" s="9"/>
      <c r="E145" s="9"/>
      <c r="F145" s="9"/>
      <c r="G145" s="9"/>
      <c r="H145" s="9"/>
      <c r="I145" s="9"/>
      <c r="J145" s="103"/>
      <c r="K145" s="9"/>
      <c r="L145" s="9"/>
      <c r="M145" s="9"/>
      <c r="N145" s="9"/>
      <c r="O145" s="9"/>
      <c r="P145" s="9"/>
      <c r="Q145" s="9"/>
      <c r="R145" s="9"/>
      <c r="S145" s="9"/>
      <c r="T145" s="9"/>
      <c r="U145" s="9"/>
      <c r="V145" s="9"/>
    </row>
    <row r="146" spans="1:22" ht="15.75" customHeight="1">
      <c r="A146" s="9"/>
      <c r="B146" s="10"/>
      <c r="C146" s="10"/>
      <c r="D146" s="9"/>
      <c r="E146" s="9"/>
      <c r="F146" s="9"/>
      <c r="G146" s="9"/>
      <c r="H146" s="9"/>
      <c r="I146" s="9"/>
      <c r="J146" s="103"/>
      <c r="K146" s="9"/>
      <c r="L146" s="9"/>
      <c r="M146" s="9"/>
      <c r="N146" s="9"/>
      <c r="O146" s="9"/>
      <c r="P146" s="9"/>
      <c r="Q146" s="9"/>
      <c r="R146" s="9"/>
      <c r="S146" s="9"/>
      <c r="T146" s="9"/>
      <c r="U146" s="9"/>
      <c r="V146" s="9"/>
    </row>
    <row r="147" spans="1:22" ht="15.75" customHeight="1">
      <c r="A147" s="9"/>
      <c r="B147" s="10"/>
      <c r="C147" s="10"/>
      <c r="D147" s="9"/>
      <c r="E147" s="9"/>
      <c r="F147" s="9"/>
      <c r="G147" s="9"/>
      <c r="H147" s="9"/>
      <c r="I147" s="9"/>
      <c r="J147" s="103"/>
      <c r="K147" s="9"/>
      <c r="L147" s="9"/>
      <c r="M147" s="9"/>
      <c r="N147" s="9"/>
      <c r="O147" s="9"/>
      <c r="P147" s="9"/>
      <c r="Q147" s="9"/>
      <c r="R147" s="9"/>
      <c r="S147" s="9"/>
      <c r="T147" s="9"/>
      <c r="U147" s="9"/>
      <c r="V147" s="9"/>
    </row>
    <row r="148" spans="1:22" ht="15.75" customHeight="1">
      <c r="A148" s="9"/>
      <c r="B148" s="10"/>
      <c r="C148" s="10"/>
      <c r="D148" s="9"/>
      <c r="E148" s="9"/>
      <c r="F148" s="9"/>
      <c r="G148" s="9"/>
      <c r="H148" s="9"/>
      <c r="I148" s="9"/>
      <c r="J148" s="103"/>
      <c r="K148" s="9"/>
      <c r="L148" s="9"/>
      <c r="M148" s="9"/>
      <c r="N148" s="9"/>
      <c r="O148" s="9"/>
      <c r="P148" s="9"/>
      <c r="Q148" s="9"/>
      <c r="R148" s="9"/>
      <c r="S148" s="9"/>
      <c r="T148" s="9"/>
      <c r="U148" s="9"/>
      <c r="V148" s="9"/>
    </row>
    <row r="149" spans="1:22" ht="15.75" customHeight="1">
      <c r="A149" s="9"/>
      <c r="B149" s="10"/>
      <c r="C149" s="10"/>
      <c r="D149" s="9"/>
      <c r="E149" s="9"/>
      <c r="F149" s="9"/>
      <c r="G149" s="9"/>
      <c r="H149" s="9"/>
      <c r="I149" s="9"/>
      <c r="J149" s="103"/>
      <c r="K149" s="9"/>
      <c r="L149" s="9"/>
      <c r="M149" s="9"/>
      <c r="N149" s="9"/>
      <c r="O149" s="9"/>
      <c r="P149" s="9"/>
      <c r="Q149" s="9"/>
      <c r="R149" s="9"/>
      <c r="S149" s="9"/>
      <c r="T149" s="9"/>
      <c r="U149" s="9"/>
      <c r="V149" s="9"/>
    </row>
    <row r="150" spans="1:22" ht="15.75" customHeight="1">
      <c r="A150" s="9"/>
      <c r="B150" s="10"/>
      <c r="C150" s="10"/>
      <c r="D150" s="9"/>
      <c r="E150" s="9"/>
      <c r="F150" s="9"/>
      <c r="G150" s="9"/>
      <c r="H150" s="9"/>
      <c r="I150" s="9"/>
      <c r="J150" s="103"/>
      <c r="K150" s="9"/>
      <c r="L150" s="9"/>
      <c r="M150" s="9"/>
      <c r="N150" s="9"/>
      <c r="O150" s="9"/>
      <c r="P150" s="9"/>
      <c r="Q150" s="9"/>
      <c r="R150" s="9"/>
      <c r="S150" s="9"/>
      <c r="T150" s="9"/>
      <c r="U150" s="9"/>
      <c r="V150" s="9"/>
    </row>
    <row r="151" spans="1:22" ht="15.75" customHeight="1">
      <c r="A151" s="9"/>
      <c r="B151" s="10"/>
      <c r="C151" s="10"/>
      <c r="D151" s="9"/>
      <c r="E151" s="9"/>
      <c r="F151" s="9"/>
      <c r="G151" s="9"/>
      <c r="H151" s="9"/>
      <c r="I151" s="9"/>
      <c r="J151" s="103"/>
      <c r="K151" s="9"/>
      <c r="L151" s="9"/>
      <c r="M151" s="9"/>
      <c r="N151" s="9"/>
      <c r="O151" s="9"/>
      <c r="P151" s="9"/>
      <c r="Q151" s="9"/>
      <c r="R151" s="9"/>
      <c r="S151" s="9"/>
      <c r="T151" s="9"/>
      <c r="U151" s="9"/>
      <c r="V151" s="9"/>
    </row>
    <row r="152" spans="1:22" ht="15.75" customHeight="1">
      <c r="A152" s="9"/>
      <c r="B152" s="10"/>
      <c r="C152" s="10"/>
      <c r="D152" s="9"/>
      <c r="E152" s="9"/>
      <c r="F152" s="9"/>
      <c r="G152" s="9"/>
      <c r="H152" s="9"/>
      <c r="I152" s="9"/>
      <c r="J152" s="103"/>
      <c r="K152" s="9"/>
      <c r="L152" s="9"/>
      <c r="M152" s="9"/>
      <c r="N152" s="9"/>
      <c r="O152" s="9"/>
      <c r="P152" s="9"/>
      <c r="Q152" s="9"/>
      <c r="R152" s="9"/>
      <c r="S152" s="9"/>
      <c r="T152" s="9"/>
      <c r="U152" s="9"/>
      <c r="V152" s="9"/>
    </row>
    <row r="153" spans="1:22" ht="15.75" customHeight="1">
      <c r="A153" s="9"/>
      <c r="B153" s="10"/>
      <c r="C153" s="10"/>
      <c r="D153" s="9"/>
      <c r="E153" s="9"/>
      <c r="F153" s="9"/>
      <c r="G153" s="9"/>
      <c r="H153" s="9"/>
      <c r="I153" s="9"/>
      <c r="J153" s="103"/>
      <c r="K153" s="9"/>
      <c r="L153" s="9"/>
      <c r="M153" s="9"/>
      <c r="N153" s="9"/>
      <c r="O153" s="9"/>
      <c r="P153" s="9"/>
      <c r="Q153" s="9"/>
      <c r="R153" s="9"/>
      <c r="S153" s="9"/>
      <c r="T153" s="9"/>
      <c r="U153" s="9"/>
      <c r="V153" s="9"/>
    </row>
    <row r="154" spans="1:22" ht="15.75" customHeight="1">
      <c r="A154" s="9"/>
      <c r="B154" s="10"/>
      <c r="C154" s="10"/>
      <c r="D154" s="9"/>
      <c r="E154" s="9"/>
      <c r="F154" s="9"/>
      <c r="G154" s="9"/>
      <c r="H154" s="9"/>
      <c r="I154" s="9"/>
      <c r="J154" s="103"/>
      <c r="K154" s="9"/>
      <c r="L154" s="9"/>
      <c r="M154" s="9"/>
      <c r="N154" s="9"/>
      <c r="O154" s="9"/>
      <c r="P154" s="9"/>
      <c r="Q154" s="9"/>
      <c r="R154" s="9"/>
      <c r="S154" s="9"/>
      <c r="T154" s="9"/>
      <c r="U154" s="9"/>
      <c r="V154" s="9"/>
    </row>
    <row r="155" spans="1:22" ht="15.75" customHeight="1">
      <c r="A155" s="9"/>
      <c r="B155" s="10"/>
      <c r="C155" s="10"/>
      <c r="D155" s="9"/>
      <c r="E155" s="9"/>
      <c r="F155" s="9"/>
      <c r="G155" s="9"/>
      <c r="H155" s="9"/>
      <c r="I155" s="9"/>
      <c r="J155" s="103"/>
      <c r="K155" s="9"/>
      <c r="L155" s="9"/>
      <c r="M155" s="9"/>
      <c r="N155" s="9"/>
      <c r="O155" s="9"/>
      <c r="P155" s="9"/>
      <c r="Q155" s="9"/>
      <c r="R155" s="9"/>
      <c r="S155" s="9"/>
      <c r="T155" s="9"/>
      <c r="U155" s="9"/>
      <c r="V155" s="9"/>
    </row>
    <row r="156" spans="1:22" ht="15.75" customHeight="1">
      <c r="A156" s="9"/>
      <c r="B156" s="10"/>
      <c r="C156" s="10"/>
      <c r="D156" s="9"/>
      <c r="E156" s="9"/>
      <c r="F156" s="9"/>
      <c r="G156" s="9"/>
      <c r="H156" s="9"/>
      <c r="I156" s="9"/>
      <c r="J156" s="103"/>
      <c r="K156" s="9"/>
      <c r="L156" s="9"/>
      <c r="M156" s="9"/>
      <c r="N156" s="9"/>
      <c r="O156" s="9"/>
      <c r="P156" s="9"/>
      <c r="Q156" s="9"/>
      <c r="R156" s="9"/>
      <c r="S156" s="9"/>
      <c r="T156" s="9"/>
      <c r="U156" s="9"/>
      <c r="V156" s="9"/>
    </row>
    <row r="157" spans="1:22" ht="15.75" customHeight="1">
      <c r="A157" s="9"/>
      <c r="B157" s="10"/>
      <c r="C157" s="10"/>
      <c r="D157" s="9"/>
      <c r="E157" s="9"/>
      <c r="F157" s="9"/>
      <c r="G157" s="9"/>
      <c r="H157" s="9"/>
      <c r="I157" s="9"/>
      <c r="J157" s="103"/>
      <c r="K157" s="9"/>
      <c r="L157" s="9"/>
      <c r="M157" s="9"/>
      <c r="N157" s="9"/>
      <c r="O157" s="9"/>
      <c r="P157" s="9"/>
      <c r="Q157" s="9"/>
      <c r="R157" s="9"/>
      <c r="S157" s="9"/>
      <c r="T157" s="9"/>
      <c r="U157" s="9"/>
      <c r="V157" s="9"/>
    </row>
    <row r="158" spans="1:22" ht="15.75" customHeight="1">
      <c r="A158" s="9"/>
      <c r="B158" s="10"/>
      <c r="C158" s="10"/>
      <c r="D158" s="9"/>
      <c r="E158" s="9"/>
      <c r="F158" s="9"/>
      <c r="G158" s="9"/>
      <c r="H158" s="9"/>
      <c r="I158" s="9"/>
      <c r="J158" s="103"/>
      <c r="K158" s="9"/>
      <c r="L158" s="9"/>
      <c r="M158" s="9"/>
      <c r="N158" s="9"/>
      <c r="O158" s="9"/>
      <c r="P158" s="9"/>
      <c r="Q158" s="9"/>
      <c r="R158" s="9"/>
      <c r="S158" s="9"/>
      <c r="T158" s="9"/>
      <c r="U158" s="9"/>
      <c r="V158" s="9"/>
    </row>
    <row r="159" spans="1:22" ht="15.75" customHeight="1">
      <c r="A159" s="9"/>
      <c r="B159" s="10"/>
      <c r="C159" s="10"/>
      <c r="D159" s="9"/>
      <c r="E159" s="9"/>
      <c r="F159" s="9"/>
      <c r="G159" s="9"/>
      <c r="H159" s="9"/>
      <c r="I159" s="9"/>
      <c r="J159" s="103"/>
      <c r="K159" s="9"/>
      <c r="L159" s="9"/>
      <c r="M159" s="9"/>
      <c r="N159" s="9"/>
      <c r="O159" s="9"/>
      <c r="P159" s="9"/>
      <c r="Q159" s="9"/>
      <c r="R159" s="9"/>
      <c r="S159" s="9"/>
      <c r="T159" s="9"/>
      <c r="U159" s="9"/>
      <c r="V159" s="9"/>
    </row>
    <row r="160" spans="1:22" ht="15.75" customHeight="1">
      <c r="A160" s="9"/>
      <c r="B160" s="10"/>
      <c r="C160" s="10"/>
      <c r="D160" s="9"/>
      <c r="E160" s="9"/>
      <c r="F160" s="9"/>
      <c r="G160" s="9"/>
      <c r="H160" s="9"/>
      <c r="I160" s="9"/>
      <c r="J160" s="103"/>
      <c r="K160" s="9"/>
      <c r="L160" s="9"/>
      <c r="M160" s="9"/>
      <c r="N160" s="9"/>
      <c r="O160" s="9"/>
      <c r="P160" s="9"/>
      <c r="Q160" s="9"/>
      <c r="R160" s="9"/>
      <c r="S160" s="9"/>
      <c r="T160" s="9"/>
      <c r="U160" s="9"/>
      <c r="V160" s="9"/>
    </row>
    <row r="161" spans="1:22" ht="15.75" customHeight="1">
      <c r="A161" s="9"/>
      <c r="B161" s="10"/>
      <c r="C161" s="10"/>
      <c r="D161" s="9"/>
      <c r="E161" s="9"/>
      <c r="F161" s="9"/>
      <c r="G161" s="9"/>
      <c r="H161" s="9"/>
      <c r="I161" s="9"/>
      <c r="J161" s="103"/>
      <c r="K161" s="9"/>
      <c r="L161" s="9"/>
      <c r="M161" s="9"/>
      <c r="N161" s="9"/>
      <c r="O161" s="9"/>
      <c r="P161" s="9"/>
      <c r="Q161" s="9"/>
      <c r="R161" s="9"/>
      <c r="S161" s="9"/>
      <c r="T161" s="9"/>
      <c r="U161" s="9"/>
      <c r="V161" s="9"/>
    </row>
    <row r="162" spans="1:22" ht="15.75" customHeight="1">
      <c r="A162" s="9"/>
      <c r="B162" s="10"/>
      <c r="C162" s="10"/>
      <c r="D162" s="9"/>
      <c r="E162" s="9"/>
      <c r="F162" s="9"/>
      <c r="G162" s="9"/>
      <c r="H162" s="9"/>
      <c r="I162" s="9"/>
      <c r="J162" s="103"/>
      <c r="K162" s="9"/>
      <c r="L162" s="9"/>
      <c r="M162" s="9"/>
      <c r="N162" s="9"/>
      <c r="O162" s="9"/>
      <c r="P162" s="9"/>
      <c r="Q162" s="9"/>
      <c r="R162" s="9"/>
      <c r="S162" s="9"/>
      <c r="T162" s="9"/>
      <c r="U162" s="9"/>
      <c r="V162" s="9"/>
    </row>
    <row r="163" spans="1:22" ht="15.75" customHeight="1">
      <c r="A163" s="9"/>
      <c r="B163" s="10"/>
      <c r="C163" s="10"/>
      <c r="D163" s="9"/>
      <c r="E163" s="9"/>
      <c r="F163" s="9"/>
      <c r="G163" s="9"/>
      <c r="H163" s="9"/>
      <c r="I163" s="9"/>
      <c r="J163" s="103"/>
      <c r="K163" s="9"/>
      <c r="L163" s="9"/>
      <c r="M163" s="9"/>
      <c r="N163" s="9"/>
      <c r="O163" s="9"/>
      <c r="P163" s="9"/>
      <c r="Q163" s="9"/>
      <c r="R163" s="9"/>
      <c r="S163" s="9"/>
      <c r="T163" s="9"/>
      <c r="U163" s="9"/>
      <c r="V163" s="9"/>
    </row>
    <row r="164" spans="1:22" ht="15.75" customHeight="1">
      <c r="A164" s="9"/>
      <c r="B164" s="10"/>
      <c r="C164" s="10"/>
      <c r="D164" s="9"/>
      <c r="E164" s="9"/>
      <c r="F164" s="9"/>
      <c r="G164" s="9"/>
      <c r="H164" s="9"/>
      <c r="I164" s="9"/>
      <c r="J164" s="103"/>
      <c r="K164" s="9"/>
      <c r="L164" s="9"/>
      <c r="M164" s="9"/>
      <c r="N164" s="9"/>
      <c r="O164" s="9"/>
      <c r="P164" s="9"/>
      <c r="Q164" s="9"/>
      <c r="R164" s="9"/>
      <c r="S164" s="9"/>
      <c r="T164" s="9"/>
      <c r="U164" s="9"/>
      <c r="V164" s="9"/>
    </row>
    <row r="165" spans="1:22" ht="15.75" customHeight="1">
      <c r="A165" s="9"/>
      <c r="B165" s="10"/>
      <c r="C165" s="10"/>
      <c r="D165" s="9"/>
      <c r="E165" s="9"/>
      <c r="F165" s="9"/>
      <c r="G165" s="9"/>
      <c r="H165" s="9"/>
      <c r="I165" s="9"/>
      <c r="J165" s="103"/>
      <c r="K165" s="9"/>
      <c r="L165" s="9"/>
      <c r="M165" s="9"/>
      <c r="N165" s="9"/>
      <c r="O165" s="9"/>
      <c r="P165" s="9"/>
      <c r="Q165" s="9"/>
      <c r="R165" s="9"/>
      <c r="S165" s="9"/>
      <c r="T165" s="9"/>
      <c r="U165" s="9"/>
      <c r="V165" s="9"/>
    </row>
    <row r="166" spans="1:22" ht="15.75" customHeight="1">
      <c r="A166" s="9"/>
      <c r="B166" s="10"/>
      <c r="C166" s="10"/>
      <c r="D166" s="9"/>
      <c r="E166" s="9"/>
      <c r="F166" s="9"/>
      <c r="G166" s="9"/>
      <c r="H166" s="9"/>
      <c r="I166" s="9"/>
      <c r="J166" s="103"/>
      <c r="K166" s="9"/>
      <c r="L166" s="9"/>
      <c r="M166" s="9"/>
      <c r="N166" s="9"/>
      <c r="O166" s="9"/>
      <c r="P166" s="9"/>
      <c r="Q166" s="9"/>
      <c r="R166" s="9"/>
      <c r="S166" s="9"/>
      <c r="T166" s="9"/>
      <c r="U166" s="9"/>
      <c r="V166" s="9"/>
    </row>
    <row r="167" spans="1:22" ht="15.75" customHeight="1">
      <c r="A167" s="9"/>
      <c r="B167" s="10"/>
      <c r="C167" s="10"/>
      <c r="D167" s="9"/>
      <c r="E167" s="9"/>
      <c r="F167" s="9"/>
      <c r="G167" s="9"/>
      <c r="H167" s="9"/>
      <c r="I167" s="9"/>
      <c r="J167" s="103"/>
      <c r="K167" s="9"/>
      <c r="L167" s="9"/>
      <c r="M167" s="9"/>
      <c r="N167" s="9"/>
      <c r="O167" s="9"/>
      <c r="P167" s="9"/>
      <c r="Q167" s="9"/>
      <c r="R167" s="9"/>
      <c r="S167" s="9"/>
      <c r="T167" s="9"/>
      <c r="U167" s="9"/>
      <c r="V167" s="9"/>
    </row>
    <row r="168" spans="1:22" ht="15.75" customHeight="1">
      <c r="A168" s="9"/>
      <c r="B168" s="10"/>
      <c r="C168" s="10"/>
      <c r="D168" s="9"/>
      <c r="E168" s="9"/>
      <c r="F168" s="9"/>
      <c r="G168" s="9"/>
      <c r="H168" s="9"/>
      <c r="I168" s="9"/>
      <c r="J168" s="103"/>
      <c r="K168" s="9"/>
      <c r="L168" s="9"/>
      <c r="M168" s="9"/>
      <c r="N168" s="9"/>
      <c r="O168" s="9"/>
      <c r="P168" s="9"/>
      <c r="Q168" s="9"/>
      <c r="R168" s="9"/>
      <c r="S168" s="9"/>
      <c r="T168" s="9"/>
      <c r="U168" s="9"/>
      <c r="V168" s="9"/>
    </row>
    <row r="169" spans="1:22" ht="15.75" customHeight="1">
      <c r="A169" s="9"/>
      <c r="B169" s="10"/>
      <c r="C169" s="10"/>
      <c r="D169" s="9"/>
      <c r="E169" s="9"/>
      <c r="F169" s="9"/>
      <c r="G169" s="9"/>
      <c r="H169" s="9"/>
      <c r="I169" s="9"/>
      <c r="J169" s="103"/>
      <c r="K169" s="9"/>
      <c r="L169" s="9"/>
      <c r="M169" s="9"/>
      <c r="N169" s="9"/>
      <c r="O169" s="9"/>
      <c r="P169" s="9"/>
      <c r="Q169" s="9"/>
      <c r="R169" s="9"/>
      <c r="S169" s="9"/>
      <c r="T169" s="9"/>
      <c r="U169" s="9"/>
      <c r="V169" s="9"/>
    </row>
    <row r="170" spans="1:22" ht="15.75" customHeight="1">
      <c r="A170" s="9"/>
      <c r="B170" s="10"/>
      <c r="C170" s="10"/>
      <c r="D170" s="9"/>
      <c r="E170" s="9"/>
      <c r="F170" s="9"/>
      <c r="G170" s="9"/>
      <c r="H170" s="9"/>
      <c r="I170" s="9"/>
      <c r="J170" s="103"/>
      <c r="K170" s="9"/>
      <c r="L170" s="9"/>
      <c r="M170" s="9"/>
      <c r="N170" s="9"/>
      <c r="O170" s="9"/>
      <c r="P170" s="9"/>
      <c r="Q170" s="9"/>
      <c r="R170" s="9"/>
      <c r="S170" s="9"/>
      <c r="T170" s="9"/>
      <c r="U170" s="9"/>
      <c r="V170" s="9"/>
    </row>
    <row r="171" spans="1:22" ht="15.75" customHeight="1">
      <c r="A171" s="9"/>
      <c r="B171" s="10"/>
      <c r="C171" s="10"/>
      <c r="D171" s="9"/>
      <c r="E171" s="9"/>
      <c r="F171" s="9"/>
      <c r="G171" s="9"/>
      <c r="H171" s="9"/>
      <c r="I171" s="12"/>
      <c r="J171" s="103"/>
      <c r="K171" s="9"/>
      <c r="L171" s="9"/>
      <c r="M171" s="9"/>
      <c r="N171" s="9"/>
      <c r="O171" s="9"/>
      <c r="P171" s="9"/>
      <c r="Q171" s="9"/>
      <c r="R171" s="9"/>
      <c r="S171" s="9"/>
      <c r="T171" s="9"/>
      <c r="U171" s="9"/>
      <c r="V171" s="9"/>
    </row>
    <row r="172" spans="1:22" ht="15.75" customHeight="1">
      <c r="A172" s="9"/>
      <c r="B172" s="10"/>
      <c r="C172" s="10"/>
      <c r="D172" s="9"/>
      <c r="E172" s="9"/>
      <c r="F172" s="9"/>
      <c r="G172" s="9"/>
      <c r="H172" s="9"/>
      <c r="I172" s="12"/>
      <c r="J172" s="103"/>
      <c r="K172" s="9"/>
      <c r="L172" s="9"/>
      <c r="M172" s="9"/>
      <c r="N172" s="9"/>
      <c r="O172" s="9"/>
      <c r="P172" s="9"/>
      <c r="Q172" s="9"/>
      <c r="R172" s="9"/>
      <c r="S172" s="9"/>
      <c r="T172" s="9"/>
      <c r="U172" s="9"/>
      <c r="V172" s="9"/>
    </row>
    <row r="173" spans="1:22" ht="15.75" customHeight="1">
      <c r="A173" s="9"/>
      <c r="B173" s="10"/>
      <c r="C173" s="10"/>
      <c r="D173" s="9"/>
      <c r="E173" s="9"/>
      <c r="F173" s="9"/>
      <c r="G173" s="9"/>
      <c r="H173" s="9"/>
      <c r="I173" s="12"/>
      <c r="J173" s="103"/>
      <c r="K173" s="9"/>
      <c r="L173" s="9"/>
      <c r="M173" s="9"/>
      <c r="N173" s="9"/>
      <c r="O173" s="9"/>
      <c r="P173" s="9"/>
      <c r="Q173" s="9"/>
      <c r="R173" s="9"/>
      <c r="S173" s="9"/>
      <c r="T173" s="9"/>
      <c r="U173" s="9"/>
      <c r="V173" s="9"/>
    </row>
    <row r="174" spans="1:22" ht="15.75" customHeight="1">
      <c r="A174" s="9"/>
      <c r="B174" s="10"/>
      <c r="C174" s="10"/>
      <c r="D174" s="9"/>
      <c r="E174" s="9"/>
      <c r="F174" s="9"/>
      <c r="G174" s="9"/>
      <c r="H174" s="9"/>
      <c r="I174" s="12"/>
      <c r="J174" s="103"/>
      <c r="K174" s="9"/>
      <c r="L174" s="9"/>
      <c r="M174" s="9"/>
      <c r="N174" s="9"/>
      <c r="O174" s="9"/>
      <c r="P174" s="9"/>
      <c r="Q174" s="9"/>
      <c r="R174" s="9"/>
      <c r="S174" s="9"/>
      <c r="T174" s="9"/>
      <c r="U174" s="9"/>
      <c r="V174" s="9"/>
    </row>
    <row r="175" spans="1:22" ht="15.75" customHeight="1">
      <c r="A175" s="9"/>
      <c r="B175" s="10"/>
      <c r="C175" s="10"/>
      <c r="D175" s="9"/>
      <c r="E175" s="9"/>
      <c r="F175" s="9"/>
      <c r="G175" s="9"/>
      <c r="H175" s="9"/>
      <c r="I175" s="12"/>
      <c r="J175" s="103"/>
      <c r="K175" s="9"/>
      <c r="L175" s="9"/>
      <c r="M175" s="9"/>
      <c r="N175" s="9"/>
      <c r="O175" s="9"/>
      <c r="P175" s="9"/>
      <c r="Q175" s="9"/>
      <c r="R175" s="9"/>
      <c r="S175" s="9"/>
      <c r="T175" s="9"/>
      <c r="U175" s="9"/>
      <c r="V175" s="9"/>
    </row>
    <row r="176" spans="1:22" ht="15.75" customHeight="1">
      <c r="A176" s="9"/>
      <c r="B176" s="10"/>
      <c r="C176" s="10"/>
      <c r="D176" s="9"/>
      <c r="E176" s="9"/>
      <c r="F176" s="9"/>
      <c r="G176" s="9"/>
      <c r="H176" s="9"/>
      <c r="I176" s="12"/>
      <c r="J176" s="103"/>
      <c r="K176" s="9"/>
      <c r="L176" s="9"/>
      <c r="M176" s="9"/>
      <c r="N176" s="9"/>
      <c r="O176" s="9"/>
      <c r="P176" s="9"/>
      <c r="Q176" s="9"/>
      <c r="R176" s="9"/>
      <c r="S176" s="9"/>
      <c r="T176" s="9"/>
      <c r="U176" s="9"/>
      <c r="V176" s="9"/>
    </row>
    <row r="177" spans="1:22" ht="15.75" customHeight="1">
      <c r="A177" s="9"/>
      <c r="B177" s="10"/>
      <c r="C177" s="10"/>
      <c r="D177" s="9"/>
      <c r="E177" s="9"/>
      <c r="F177" s="9"/>
      <c r="G177" s="9"/>
      <c r="H177" s="9"/>
      <c r="I177" s="12"/>
      <c r="J177" s="103"/>
      <c r="K177" s="9"/>
      <c r="L177" s="9"/>
      <c r="M177" s="9"/>
      <c r="N177" s="9"/>
      <c r="O177" s="9"/>
      <c r="P177" s="9"/>
      <c r="Q177" s="9"/>
      <c r="R177" s="9"/>
      <c r="S177" s="9"/>
      <c r="T177" s="9"/>
      <c r="U177" s="9"/>
      <c r="V177" s="9"/>
    </row>
    <row r="178" spans="1:22" ht="15.75" customHeight="1">
      <c r="A178" s="9"/>
      <c r="B178" s="10"/>
      <c r="C178" s="10"/>
      <c r="D178" s="9"/>
      <c r="E178" s="9"/>
      <c r="F178" s="9"/>
      <c r="G178" s="9"/>
      <c r="H178" s="9"/>
      <c r="I178" s="12"/>
      <c r="J178" s="103"/>
      <c r="K178" s="9"/>
      <c r="L178" s="9"/>
      <c r="M178" s="9"/>
      <c r="N178" s="9"/>
      <c r="O178" s="9"/>
      <c r="P178" s="9"/>
      <c r="Q178" s="9"/>
      <c r="R178" s="9"/>
      <c r="S178" s="9"/>
      <c r="T178" s="9"/>
      <c r="U178" s="9"/>
      <c r="V178" s="9"/>
    </row>
    <row r="179" spans="1:22" ht="15.75" customHeight="1">
      <c r="A179" s="9"/>
      <c r="B179" s="10"/>
      <c r="C179" s="10"/>
      <c r="D179" s="9"/>
      <c r="E179" s="9"/>
      <c r="F179" s="9"/>
      <c r="G179" s="9"/>
      <c r="H179" s="9"/>
      <c r="I179" s="12"/>
      <c r="J179" s="103"/>
      <c r="K179" s="9"/>
      <c r="L179" s="9"/>
      <c r="M179" s="9"/>
      <c r="N179" s="9"/>
      <c r="O179" s="9"/>
      <c r="P179" s="9"/>
      <c r="Q179" s="9"/>
      <c r="R179" s="9"/>
      <c r="S179" s="9"/>
      <c r="T179" s="9"/>
      <c r="U179" s="9"/>
      <c r="V179" s="9"/>
    </row>
    <row r="180" spans="1:22" ht="15.75" customHeight="1">
      <c r="A180" s="9"/>
      <c r="B180" s="10"/>
      <c r="C180" s="10"/>
      <c r="D180" s="9"/>
      <c r="E180" s="9"/>
      <c r="F180" s="9"/>
      <c r="G180" s="9"/>
      <c r="H180" s="9"/>
      <c r="I180" s="12"/>
      <c r="J180" s="103"/>
      <c r="K180" s="9"/>
      <c r="L180" s="9"/>
      <c r="M180" s="9"/>
      <c r="N180" s="9"/>
      <c r="O180" s="9"/>
      <c r="P180" s="9"/>
      <c r="Q180" s="9"/>
      <c r="R180" s="9"/>
      <c r="S180" s="9"/>
      <c r="T180" s="9"/>
      <c r="U180" s="9"/>
      <c r="V180" s="9"/>
    </row>
    <row r="181" spans="1:22" ht="15.75" customHeight="1">
      <c r="A181" s="9"/>
      <c r="B181" s="10"/>
      <c r="C181" s="10"/>
      <c r="D181" s="9"/>
      <c r="E181" s="9"/>
      <c r="F181" s="9"/>
      <c r="G181" s="9"/>
      <c r="H181" s="9"/>
      <c r="I181" s="12"/>
      <c r="J181" s="103"/>
      <c r="K181" s="9"/>
      <c r="L181" s="9"/>
      <c r="M181" s="9"/>
      <c r="N181" s="9"/>
      <c r="O181" s="9"/>
      <c r="P181" s="9"/>
      <c r="Q181" s="9"/>
      <c r="R181" s="9"/>
      <c r="S181" s="9"/>
      <c r="T181" s="9"/>
      <c r="U181" s="9"/>
      <c r="V181" s="9"/>
    </row>
    <row r="182" spans="1:22" ht="15.75" customHeight="1">
      <c r="A182" s="9"/>
      <c r="B182" s="10"/>
      <c r="C182" s="10"/>
      <c r="D182" s="9"/>
      <c r="E182" s="9"/>
      <c r="F182" s="9"/>
      <c r="G182" s="9"/>
      <c r="H182" s="9"/>
      <c r="I182" s="12"/>
      <c r="J182" s="103"/>
      <c r="K182" s="9"/>
      <c r="L182" s="9"/>
      <c r="M182" s="9"/>
      <c r="N182" s="9"/>
      <c r="O182" s="9"/>
      <c r="P182" s="9"/>
      <c r="Q182" s="9"/>
      <c r="R182" s="9"/>
      <c r="S182" s="9"/>
      <c r="T182" s="9"/>
      <c r="U182" s="9"/>
      <c r="V182" s="9"/>
    </row>
    <row r="183" spans="1:22" ht="15.75" customHeight="1">
      <c r="A183" s="9"/>
      <c r="B183" s="10"/>
      <c r="C183" s="10"/>
      <c r="D183" s="9"/>
      <c r="E183" s="9"/>
      <c r="F183" s="9"/>
      <c r="G183" s="9"/>
      <c r="H183" s="9"/>
      <c r="I183" s="12"/>
      <c r="J183" s="103"/>
      <c r="K183" s="9"/>
      <c r="L183" s="9"/>
      <c r="M183" s="9"/>
      <c r="N183" s="9"/>
      <c r="O183" s="9"/>
      <c r="P183" s="9"/>
      <c r="Q183" s="9"/>
      <c r="R183" s="9"/>
      <c r="S183" s="9"/>
      <c r="T183" s="9"/>
      <c r="U183" s="9"/>
      <c r="V183" s="9"/>
    </row>
    <row r="184" spans="1:22" ht="15.75" customHeight="1">
      <c r="A184" s="9"/>
      <c r="B184" s="10"/>
      <c r="C184" s="10"/>
      <c r="D184" s="9"/>
      <c r="E184" s="9"/>
      <c r="F184" s="9"/>
      <c r="G184" s="9"/>
      <c r="H184" s="9"/>
      <c r="I184" s="12"/>
      <c r="J184" s="103"/>
      <c r="K184" s="9"/>
      <c r="L184" s="9"/>
      <c r="M184" s="9"/>
      <c r="N184" s="9"/>
      <c r="O184" s="9"/>
      <c r="P184" s="9"/>
      <c r="Q184" s="9"/>
      <c r="R184" s="9"/>
      <c r="S184" s="9"/>
      <c r="T184" s="9"/>
      <c r="U184" s="9"/>
      <c r="V184" s="9"/>
    </row>
    <row r="185" spans="1:22" ht="15.75" customHeight="1">
      <c r="A185" s="9"/>
      <c r="B185" s="10"/>
      <c r="C185" s="10"/>
      <c r="D185" s="9"/>
      <c r="E185" s="9"/>
      <c r="F185" s="9"/>
      <c r="G185" s="9"/>
      <c r="H185" s="9"/>
      <c r="I185" s="12"/>
      <c r="J185" s="103"/>
      <c r="K185" s="9"/>
      <c r="L185" s="9"/>
      <c r="M185" s="9"/>
      <c r="N185" s="9"/>
      <c r="O185" s="9"/>
      <c r="P185" s="9"/>
      <c r="Q185" s="9"/>
      <c r="R185" s="9"/>
      <c r="S185" s="9"/>
      <c r="T185" s="9"/>
      <c r="U185" s="9"/>
      <c r="V185" s="9"/>
    </row>
    <row r="186" spans="1:22" ht="15.75" customHeight="1">
      <c r="A186" s="9"/>
      <c r="B186" s="10"/>
      <c r="C186" s="10"/>
      <c r="D186" s="9"/>
      <c r="E186" s="9"/>
      <c r="F186" s="9"/>
      <c r="G186" s="9"/>
      <c r="H186" s="9"/>
      <c r="I186" s="12"/>
      <c r="J186" s="103"/>
      <c r="K186" s="9"/>
      <c r="L186" s="9"/>
      <c r="M186" s="9"/>
      <c r="N186" s="9"/>
      <c r="O186" s="9"/>
      <c r="P186" s="9"/>
      <c r="Q186" s="9"/>
      <c r="R186" s="9"/>
      <c r="S186" s="9"/>
      <c r="T186" s="9"/>
      <c r="U186" s="9"/>
      <c r="V186" s="9"/>
    </row>
    <row r="187" spans="1:22" ht="15.75" customHeight="1">
      <c r="A187" s="9"/>
      <c r="B187" s="10"/>
      <c r="C187" s="10"/>
      <c r="D187" s="9"/>
      <c r="E187" s="9"/>
      <c r="F187" s="9"/>
      <c r="G187" s="9"/>
      <c r="H187" s="9"/>
      <c r="I187" s="12"/>
      <c r="J187" s="103"/>
      <c r="K187" s="9"/>
      <c r="L187" s="9"/>
      <c r="M187" s="9"/>
      <c r="N187" s="9"/>
      <c r="O187" s="9"/>
      <c r="P187" s="9"/>
      <c r="Q187" s="9"/>
      <c r="R187" s="9"/>
      <c r="S187" s="9"/>
      <c r="T187" s="9"/>
      <c r="U187" s="9"/>
      <c r="V187" s="9"/>
    </row>
    <row r="188" spans="1:22" ht="15.75" customHeight="1">
      <c r="A188" s="9"/>
      <c r="B188" s="10"/>
      <c r="C188" s="10"/>
      <c r="D188" s="9"/>
      <c r="E188" s="9"/>
      <c r="F188" s="9"/>
      <c r="G188" s="9"/>
      <c r="H188" s="9"/>
      <c r="I188" s="12"/>
      <c r="J188" s="103"/>
      <c r="K188" s="9"/>
      <c r="L188" s="9"/>
      <c r="M188" s="9"/>
      <c r="N188" s="9"/>
      <c r="O188" s="9"/>
      <c r="P188" s="9"/>
      <c r="Q188" s="9"/>
      <c r="R188" s="9"/>
      <c r="S188" s="9"/>
      <c r="T188" s="9"/>
      <c r="U188" s="9"/>
      <c r="V188" s="9"/>
    </row>
    <row r="189" spans="1:22" ht="15.75" customHeight="1">
      <c r="A189" s="9"/>
      <c r="B189" s="10"/>
      <c r="C189" s="10"/>
      <c r="D189" s="9"/>
      <c r="E189" s="9"/>
      <c r="F189" s="9"/>
      <c r="G189" s="9"/>
      <c r="H189" s="9"/>
      <c r="I189" s="12"/>
      <c r="J189" s="103"/>
      <c r="K189" s="9"/>
      <c r="L189" s="9"/>
      <c r="M189" s="9"/>
      <c r="N189" s="9"/>
      <c r="O189" s="9"/>
      <c r="P189" s="9"/>
      <c r="Q189" s="9"/>
      <c r="R189" s="9"/>
      <c r="S189" s="9"/>
      <c r="T189" s="9"/>
      <c r="U189" s="9"/>
      <c r="V189" s="9"/>
    </row>
    <row r="190" spans="1:22" ht="15.75" customHeight="1">
      <c r="A190" s="9"/>
      <c r="B190" s="10"/>
      <c r="C190" s="10"/>
      <c r="D190" s="9"/>
      <c r="E190" s="9"/>
      <c r="F190" s="9"/>
      <c r="G190" s="9"/>
      <c r="H190" s="9"/>
      <c r="I190" s="12"/>
      <c r="J190" s="103"/>
      <c r="K190" s="9"/>
      <c r="L190" s="9"/>
      <c r="M190" s="9"/>
      <c r="N190" s="9"/>
      <c r="O190" s="9"/>
      <c r="P190" s="9"/>
      <c r="Q190" s="9"/>
      <c r="R190" s="9"/>
      <c r="S190" s="9"/>
      <c r="T190" s="9"/>
      <c r="U190" s="9"/>
      <c r="V190" s="9"/>
    </row>
    <row r="191" spans="1:22" ht="15.75" customHeight="1">
      <c r="A191" s="9"/>
      <c r="B191" s="10"/>
      <c r="C191" s="10"/>
      <c r="D191" s="9"/>
      <c r="E191" s="9"/>
      <c r="F191" s="9"/>
      <c r="G191" s="9"/>
      <c r="H191" s="9"/>
      <c r="I191" s="12"/>
      <c r="J191" s="103"/>
      <c r="K191" s="9"/>
      <c r="L191" s="9"/>
      <c r="M191" s="9"/>
      <c r="N191" s="9"/>
      <c r="O191" s="9"/>
      <c r="P191" s="9"/>
      <c r="Q191" s="9"/>
      <c r="R191" s="9"/>
      <c r="S191" s="9"/>
      <c r="T191" s="9"/>
      <c r="U191" s="9"/>
      <c r="V191" s="9"/>
    </row>
    <row r="192" spans="1:22" ht="15.75" customHeight="1">
      <c r="A192" s="9"/>
      <c r="B192" s="10"/>
      <c r="C192" s="10"/>
      <c r="D192" s="9"/>
      <c r="E192" s="9"/>
      <c r="F192" s="9"/>
      <c r="G192" s="9"/>
      <c r="H192" s="9"/>
      <c r="I192" s="12"/>
      <c r="J192" s="103"/>
      <c r="K192" s="9"/>
      <c r="L192" s="9"/>
      <c r="M192" s="9"/>
      <c r="N192" s="9"/>
      <c r="O192" s="9"/>
      <c r="P192" s="9"/>
      <c r="Q192" s="9"/>
      <c r="R192" s="9"/>
      <c r="S192" s="9"/>
      <c r="T192" s="9"/>
      <c r="U192" s="9"/>
      <c r="V192" s="9"/>
    </row>
    <row r="193" spans="1:22" ht="15.75" customHeight="1">
      <c r="A193" s="9"/>
      <c r="B193" s="10"/>
      <c r="C193" s="10"/>
      <c r="D193" s="9"/>
      <c r="E193" s="9"/>
      <c r="F193" s="9"/>
      <c r="G193" s="9"/>
      <c r="H193" s="9"/>
      <c r="I193" s="12"/>
      <c r="J193" s="103"/>
      <c r="K193" s="9"/>
      <c r="L193" s="9"/>
      <c r="M193" s="9"/>
      <c r="N193" s="9"/>
      <c r="O193" s="9"/>
      <c r="P193" s="9"/>
      <c r="Q193" s="9"/>
      <c r="R193" s="9"/>
      <c r="S193" s="9"/>
      <c r="T193" s="9"/>
      <c r="U193" s="9"/>
      <c r="V193" s="9"/>
    </row>
    <row r="194" spans="1:22" ht="15.75" customHeight="1">
      <c r="A194" s="9"/>
      <c r="B194" s="10"/>
      <c r="C194" s="10"/>
      <c r="D194" s="9"/>
      <c r="E194" s="9"/>
      <c r="F194" s="9"/>
      <c r="G194" s="9"/>
      <c r="H194" s="9"/>
      <c r="I194" s="12"/>
      <c r="J194" s="103"/>
      <c r="K194" s="9"/>
      <c r="L194" s="9"/>
      <c r="M194" s="9"/>
      <c r="N194" s="9"/>
      <c r="O194" s="9"/>
      <c r="P194" s="9"/>
      <c r="Q194" s="9"/>
      <c r="R194" s="9"/>
      <c r="S194" s="9"/>
      <c r="T194" s="9"/>
      <c r="U194" s="9"/>
      <c r="V194" s="9"/>
    </row>
    <row r="195" spans="1:22" ht="15.75" customHeight="1">
      <c r="A195" s="9"/>
      <c r="B195" s="10"/>
      <c r="C195" s="10"/>
      <c r="D195" s="9"/>
      <c r="E195" s="9"/>
      <c r="F195" s="9"/>
      <c r="G195" s="9"/>
      <c r="H195" s="9"/>
      <c r="I195" s="12"/>
      <c r="J195" s="103"/>
      <c r="K195" s="9"/>
      <c r="L195" s="9"/>
      <c r="M195" s="9"/>
      <c r="N195" s="9"/>
      <c r="O195" s="9"/>
      <c r="P195" s="9"/>
      <c r="Q195" s="9"/>
      <c r="R195" s="9"/>
      <c r="S195" s="9"/>
      <c r="T195" s="9"/>
      <c r="U195" s="9"/>
      <c r="V195" s="9"/>
    </row>
    <row r="196" spans="1:22" ht="15.75" customHeight="1">
      <c r="A196" s="9"/>
      <c r="B196" s="10"/>
      <c r="C196" s="10"/>
      <c r="D196" s="9"/>
      <c r="E196" s="9"/>
      <c r="F196" s="9"/>
      <c r="G196" s="9"/>
      <c r="H196" s="9"/>
      <c r="I196" s="12"/>
      <c r="J196" s="103"/>
      <c r="K196" s="9"/>
      <c r="L196" s="9"/>
      <c r="M196" s="9"/>
      <c r="N196" s="9"/>
      <c r="O196" s="9"/>
      <c r="P196" s="9"/>
      <c r="Q196" s="9"/>
      <c r="R196" s="9"/>
      <c r="S196" s="9"/>
      <c r="T196" s="9"/>
      <c r="U196" s="9"/>
      <c r="V196" s="9"/>
    </row>
    <row r="197" spans="1:22" ht="15.75" customHeight="1">
      <c r="A197" s="9"/>
      <c r="B197" s="10"/>
      <c r="C197" s="10"/>
      <c r="D197" s="9"/>
      <c r="E197" s="9"/>
      <c r="F197" s="9"/>
      <c r="G197" s="9"/>
      <c r="H197" s="9"/>
      <c r="I197" s="12"/>
      <c r="J197" s="103"/>
      <c r="K197" s="9"/>
      <c r="L197" s="9"/>
      <c r="M197" s="9"/>
      <c r="N197" s="9"/>
      <c r="O197" s="9"/>
      <c r="P197" s="9"/>
      <c r="Q197" s="9"/>
      <c r="R197" s="9"/>
      <c r="S197" s="9"/>
      <c r="T197" s="9"/>
      <c r="U197" s="9"/>
      <c r="V197" s="9"/>
    </row>
    <row r="198" spans="1:22" ht="15.75" customHeight="1">
      <c r="A198" s="9"/>
      <c r="B198" s="10"/>
      <c r="C198" s="10"/>
      <c r="D198" s="9"/>
      <c r="E198" s="9"/>
      <c r="F198" s="9"/>
      <c r="G198" s="9"/>
      <c r="H198" s="9"/>
      <c r="I198" s="12"/>
      <c r="J198" s="103"/>
      <c r="K198" s="9"/>
      <c r="L198" s="9"/>
      <c r="M198" s="9"/>
      <c r="N198" s="9"/>
      <c r="O198" s="9"/>
      <c r="P198" s="9"/>
      <c r="Q198" s="9"/>
      <c r="R198" s="9"/>
      <c r="S198" s="9"/>
      <c r="T198" s="9"/>
      <c r="U198" s="9"/>
      <c r="V198" s="9"/>
    </row>
    <row r="199" spans="1:22" ht="15.75" customHeight="1">
      <c r="A199" s="9"/>
      <c r="B199" s="10"/>
      <c r="C199" s="10"/>
      <c r="D199" s="9"/>
      <c r="E199" s="9"/>
      <c r="F199" s="9"/>
      <c r="G199" s="9"/>
      <c r="H199" s="9"/>
      <c r="I199" s="12"/>
      <c r="J199" s="103"/>
      <c r="K199" s="9"/>
      <c r="L199" s="9"/>
      <c r="M199" s="9"/>
      <c r="N199" s="9"/>
      <c r="O199" s="9"/>
      <c r="P199" s="9"/>
      <c r="Q199" s="9"/>
      <c r="R199" s="9"/>
      <c r="S199" s="9"/>
      <c r="T199" s="9"/>
      <c r="U199" s="9"/>
      <c r="V199" s="9"/>
    </row>
    <row r="200" spans="1:22" ht="15.75" customHeight="1">
      <c r="A200" s="9"/>
      <c r="B200" s="10"/>
      <c r="C200" s="10"/>
      <c r="D200" s="9"/>
      <c r="E200" s="9"/>
      <c r="F200" s="9"/>
      <c r="G200" s="9"/>
      <c r="H200" s="9"/>
      <c r="I200" s="12"/>
      <c r="J200" s="103"/>
      <c r="K200" s="9"/>
      <c r="L200" s="9"/>
      <c r="M200" s="9"/>
      <c r="N200" s="9"/>
      <c r="O200" s="9"/>
      <c r="P200" s="9"/>
      <c r="Q200" s="9"/>
      <c r="R200" s="9"/>
      <c r="S200" s="9"/>
      <c r="T200" s="9"/>
      <c r="U200" s="9"/>
      <c r="V200" s="9"/>
    </row>
    <row r="201" spans="1:22" ht="15.75" customHeight="1">
      <c r="A201" s="9"/>
      <c r="B201" s="10"/>
      <c r="C201" s="10"/>
      <c r="D201" s="9"/>
      <c r="E201" s="9"/>
      <c r="F201" s="9"/>
      <c r="G201" s="9"/>
      <c r="H201" s="9"/>
      <c r="I201" s="12"/>
      <c r="J201" s="103"/>
      <c r="K201" s="9"/>
      <c r="L201" s="9"/>
      <c r="M201" s="9"/>
      <c r="N201" s="9"/>
      <c r="O201" s="9"/>
      <c r="P201" s="9"/>
      <c r="Q201" s="9"/>
      <c r="R201" s="9"/>
      <c r="S201" s="9"/>
      <c r="T201" s="9"/>
      <c r="U201" s="9"/>
      <c r="V201" s="9"/>
    </row>
    <row r="202" spans="1:22" ht="15.75" customHeight="1">
      <c r="A202" s="9"/>
      <c r="B202" s="10"/>
      <c r="C202" s="10"/>
      <c r="D202" s="9"/>
      <c r="E202" s="9"/>
      <c r="F202" s="9"/>
      <c r="G202" s="9"/>
      <c r="H202" s="9"/>
      <c r="I202" s="12"/>
      <c r="J202" s="103"/>
      <c r="K202" s="9"/>
      <c r="L202" s="9"/>
      <c r="M202" s="9"/>
      <c r="N202" s="9"/>
      <c r="O202" s="9"/>
      <c r="P202" s="9"/>
      <c r="Q202" s="9"/>
      <c r="R202" s="9"/>
      <c r="S202" s="9"/>
      <c r="T202" s="9"/>
      <c r="U202" s="9"/>
      <c r="V202" s="9"/>
    </row>
    <row r="203" spans="1:22" ht="15.75" customHeight="1">
      <c r="A203" s="9"/>
      <c r="B203" s="10"/>
      <c r="C203" s="10"/>
      <c r="D203" s="9"/>
      <c r="E203" s="9"/>
      <c r="F203" s="9"/>
      <c r="G203" s="9"/>
      <c r="H203" s="9"/>
      <c r="I203" s="12"/>
      <c r="J203" s="103"/>
      <c r="K203" s="9"/>
      <c r="L203" s="9"/>
      <c r="M203" s="9"/>
      <c r="N203" s="9"/>
      <c r="O203" s="9"/>
      <c r="P203" s="9"/>
      <c r="Q203" s="9"/>
      <c r="R203" s="9"/>
      <c r="S203" s="9"/>
      <c r="T203" s="9"/>
      <c r="U203" s="9"/>
      <c r="V203" s="9"/>
    </row>
    <row r="204" spans="1:22" ht="15.75" customHeight="1">
      <c r="A204" s="9"/>
      <c r="B204" s="10"/>
      <c r="C204" s="10"/>
      <c r="D204" s="9"/>
      <c r="E204" s="9"/>
      <c r="F204" s="9"/>
      <c r="G204" s="9"/>
      <c r="H204" s="9"/>
      <c r="I204" s="12"/>
      <c r="J204" s="103"/>
      <c r="K204" s="9"/>
      <c r="L204" s="9"/>
      <c r="M204" s="9"/>
      <c r="N204" s="9"/>
      <c r="O204" s="9"/>
      <c r="P204" s="9"/>
      <c r="Q204" s="9"/>
      <c r="R204" s="9"/>
      <c r="S204" s="9"/>
      <c r="T204" s="9"/>
      <c r="U204" s="9"/>
      <c r="V204" s="9"/>
    </row>
    <row r="205" spans="1:22" ht="15.75" customHeight="1">
      <c r="A205" s="9"/>
      <c r="B205" s="10"/>
      <c r="C205" s="10"/>
      <c r="D205" s="9"/>
      <c r="E205" s="9"/>
      <c r="F205" s="9"/>
      <c r="G205" s="9"/>
      <c r="H205" s="9"/>
      <c r="I205" s="12"/>
      <c r="J205" s="103"/>
      <c r="K205" s="9"/>
      <c r="L205" s="9"/>
      <c r="M205" s="9"/>
      <c r="N205" s="9"/>
      <c r="O205" s="9"/>
      <c r="P205" s="9"/>
      <c r="Q205" s="9"/>
      <c r="R205" s="9"/>
      <c r="S205" s="9"/>
      <c r="T205" s="9"/>
      <c r="U205" s="9"/>
      <c r="V205" s="9"/>
    </row>
    <row r="206" spans="1:22" ht="15.75" customHeight="1">
      <c r="A206" s="9"/>
      <c r="B206" s="10"/>
      <c r="C206" s="10"/>
      <c r="D206" s="9"/>
      <c r="E206" s="9"/>
      <c r="F206" s="9"/>
      <c r="G206" s="9"/>
      <c r="H206" s="9"/>
      <c r="I206" s="12"/>
      <c r="J206" s="103"/>
      <c r="K206" s="9"/>
      <c r="L206" s="9"/>
      <c r="M206" s="9"/>
      <c r="N206" s="9"/>
      <c r="O206" s="9"/>
      <c r="P206" s="9"/>
      <c r="Q206" s="9"/>
      <c r="R206" s="9"/>
      <c r="S206" s="9"/>
      <c r="T206" s="9"/>
      <c r="U206" s="9"/>
      <c r="V206" s="9"/>
    </row>
    <row r="207" spans="1:22" ht="15.75" customHeight="1">
      <c r="A207" s="9"/>
      <c r="B207" s="10"/>
      <c r="C207" s="10"/>
      <c r="D207" s="9"/>
      <c r="E207" s="9"/>
      <c r="F207" s="9"/>
      <c r="G207" s="9"/>
      <c r="H207" s="9"/>
      <c r="I207" s="12"/>
      <c r="J207" s="103"/>
      <c r="K207" s="9"/>
      <c r="L207" s="9"/>
      <c r="M207" s="9"/>
      <c r="N207" s="9"/>
      <c r="O207" s="9"/>
      <c r="P207" s="9"/>
      <c r="Q207" s="9"/>
      <c r="R207" s="9"/>
      <c r="S207" s="9"/>
      <c r="T207" s="9"/>
      <c r="U207" s="9"/>
      <c r="V207" s="9"/>
    </row>
    <row r="208" spans="1:22" ht="15.75" customHeight="1">
      <c r="A208" s="9"/>
      <c r="B208" s="10"/>
      <c r="C208" s="10"/>
      <c r="D208" s="9"/>
      <c r="E208" s="9"/>
      <c r="F208" s="9"/>
      <c r="G208" s="9"/>
      <c r="H208" s="9"/>
      <c r="I208" s="12"/>
      <c r="J208" s="103"/>
      <c r="K208" s="9"/>
      <c r="L208" s="9"/>
      <c r="M208" s="9"/>
      <c r="N208" s="9"/>
      <c r="O208" s="9"/>
      <c r="P208" s="9"/>
      <c r="Q208" s="9"/>
      <c r="R208" s="9"/>
      <c r="S208" s="9"/>
      <c r="T208" s="9"/>
      <c r="U208" s="9"/>
      <c r="V208" s="9"/>
    </row>
    <row r="209" spans="1:22" ht="15.75" customHeight="1">
      <c r="A209" s="9"/>
      <c r="B209" s="10"/>
      <c r="C209" s="10"/>
      <c r="D209" s="9"/>
      <c r="E209" s="9"/>
      <c r="F209" s="9"/>
      <c r="G209" s="9"/>
      <c r="H209" s="9"/>
      <c r="I209" s="12"/>
      <c r="J209" s="103"/>
      <c r="K209" s="9"/>
      <c r="L209" s="9"/>
      <c r="M209" s="9"/>
      <c r="N209" s="9"/>
      <c r="O209" s="9"/>
      <c r="P209" s="9"/>
      <c r="Q209" s="9"/>
      <c r="R209" s="9"/>
      <c r="S209" s="9"/>
      <c r="T209" s="9"/>
      <c r="U209" s="9"/>
      <c r="V209" s="9"/>
    </row>
    <row r="210" spans="1:22" ht="15.75" customHeight="1">
      <c r="A210" s="9"/>
      <c r="B210" s="10"/>
      <c r="C210" s="10"/>
      <c r="D210" s="9"/>
      <c r="E210" s="9"/>
      <c r="F210" s="9"/>
      <c r="G210" s="9"/>
      <c r="H210" s="9"/>
      <c r="I210" s="12"/>
      <c r="J210" s="103"/>
      <c r="K210" s="9"/>
      <c r="L210" s="9"/>
      <c r="M210" s="9"/>
      <c r="N210" s="9"/>
      <c r="O210" s="9"/>
      <c r="P210" s="9"/>
      <c r="Q210" s="9"/>
      <c r="R210" s="9"/>
      <c r="S210" s="9"/>
      <c r="T210" s="9"/>
      <c r="U210" s="9"/>
      <c r="V210" s="9"/>
    </row>
    <row r="211" spans="1:22" ht="15.75" customHeight="1">
      <c r="A211" s="9"/>
      <c r="B211" s="10"/>
      <c r="C211" s="10"/>
      <c r="D211" s="9"/>
      <c r="E211" s="9"/>
      <c r="F211" s="9"/>
      <c r="G211" s="9"/>
      <c r="H211" s="9"/>
      <c r="I211" s="12"/>
      <c r="J211" s="103"/>
      <c r="K211" s="9"/>
      <c r="L211" s="9"/>
      <c r="M211" s="9"/>
      <c r="N211" s="9"/>
      <c r="O211" s="9"/>
      <c r="P211" s="9"/>
      <c r="Q211" s="9"/>
      <c r="R211" s="9"/>
      <c r="S211" s="9"/>
      <c r="T211" s="9"/>
      <c r="U211" s="9"/>
      <c r="V211" s="9"/>
    </row>
    <row r="212" spans="1:22" ht="15.75" customHeight="1">
      <c r="A212" s="9"/>
      <c r="B212" s="10"/>
      <c r="C212" s="10"/>
      <c r="D212" s="9"/>
      <c r="E212" s="9"/>
      <c r="F212" s="9"/>
      <c r="G212" s="9"/>
      <c r="H212" s="9"/>
      <c r="I212" s="12"/>
      <c r="J212" s="103"/>
      <c r="K212" s="9"/>
      <c r="L212" s="9"/>
      <c r="M212" s="9"/>
      <c r="N212" s="9"/>
      <c r="O212" s="9"/>
      <c r="P212" s="9"/>
      <c r="Q212" s="9"/>
      <c r="R212" s="9"/>
      <c r="S212" s="9"/>
      <c r="T212" s="9"/>
      <c r="U212" s="9"/>
      <c r="V212" s="9"/>
    </row>
    <row r="213" spans="1:22" ht="15.75" customHeight="1">
      <c r="A213" s="9"/>
      <c r="B213" s="10"/>
      <c r="C213" s="10"/>
      <c r="D213" s="9"/>
      <c r="E213" s="9"/>
      <c r="F213" s="9"/>
      <c r="G213" s="9"/>
      <c r="H213" s="9"/>
      <c r="I213" s="12"/>
      <c r="J213" s="103"/>
      <c r="K213" s="9"/>
      <c r="L213" s="9"/>
      <c r="M213" s="9"/>
      <c r="N213" s="9"/>
      <c r="O213" s="9"/>
      <c r="P213" s="9"/>
      <c r="Q213" s="9"/>
      <c r="R213" s="9"/>
      <c r="S213" s="9"/>
      <c r="T213" s="9"/>
      <c r="U213" s="9"/>
      <c r="V213" s="9"/>
    </row>
    <row r="214" spans="1:22" ht="15.75" customHeight="1">
      <c r="A214" s="9"/>
      <c r="B214" s="10"/>
      <c r="C214" s="10"/>
      <c r="D214" s="9"/>
      <c r="E214" s="9"/>
      <c r="F214" s="9"/>
      <c r="G214" s="9"/>
      <c r="H214" s="9"/>
      <c r="I214" s="12"/>
      <c r="J214" s="103"/>
      <c r="K214" s="9"/>
      <c r="L214" s="9"/>
      <c r="M214" s="9"/>
      <c r="N214" s="9"/>
      <c r="O214" s="9"/>
      <c r="P214" s="9"/>
      <c r="Q214" s="9"/>
      <c r="R214" s="9"/>
      <c r="S214" s="9"/>
      <c r="T214" s="9"/>
      <c r="U214" s="9"/>
      <c r="V214" s="9"/>
    </row>
    <row r="215" spans="1:22" ht="15.75" customHeight="1">
      <c r="A215" s="9"/>
      <c r="B215" s="10"/>
      <c r="C215" s="10"/>
      <c r="D215" s="9"/>
      <c r="E215" s="9"/>
      <c r="F215" s="9"/>
      <c r="G215" s="9"/>
      <c r="H215" s="9"/>
      <c r="I215" s="12"/>
      <c r="J215" s="103"/>
      <c r="K215" s="9"/>
      <c r="L215" s="9"/>
      <c r="M215" s="9"/>
      <c r="N215" s="9"/>
      <c r="O215" s="9"/>
      <c r="P215" s="9"/>
      <c r="Q215" s="9"/>
      <c r="R215" s="9"/>
      <c r="S215" s="9"/>
      <c r="T215" s="9"/>
      <c r="U215" s="9"/>
      <c r="V215" s="9"/>
    </row>
    <row r="216" spans="1:22" ht="15.75" customHeight="1">
      <c r="A216" s="9"/>
      <c r="B216" s="10"/>
      <c r="C216" s="10"/>
      <c r="D216" s="9"/>
      <c r="E216" s="9"/>
      <c r="F216" s="9"/>
      <c r="G216" s="9"/>
      <c r="H216" s="9"/>
      <c r="I216" s="12"/>
      <c r="J216" s="103"/>
      <c r="K216" s="9"/>
      <c r="L216" s="9"/>
      <c r="M216" s="9"/>
      <c r="N216" s="9"/>
      <c r="O216" s="9"/>
      <c r="P216" s="9"/>
      <c r="Q216" s="9"/>
      <c r="R216" s="9"/>
      <c r="S216" s="9"/>
      <c r="T216" s="9"/>
      <c r="U216" s="9"/>
      <c r="V216" s="9"/>
    </row>
    <row r="217" spans="1:22" ht="15.75" customHeight="1">
      <c r="A217" s="9"/>
      <c r="B217" s="10"/>
      <c r="C217" s="10"/>
      <c r="D217" s="9"/>
      <c r="E217" s="9"/>
      <c r="F217" s="9"/>
      <c r="G217" s="9"/>
      <c r="H217" s="9"/>
      <c r="I217" s="12"/>
      <c r="J217" s="103"/>
      <c r="K217" s="9"/>
      <c r="L217" s="9"/>
      <c r="M217" s="9"/>
      <c r="N217" s="9"/>
      <c r="O217" s="9"/>
      <c r="P217" s="9"/>
      <c r="Q217" s="9"/>
      <c r="R217" s="9"/>
      <c r="S217" s="9"/>
      <c r="T217" s="9"/>
      <c r="U217" s="9"/>
      <c r="V217" s="9"/>
    </row>
    <row r="218" spans="1:22" ht="15.75" customHeight="1">
      <c r="A218" s="9"/>
      <c r="B218" s="10"/>
      <c r="C218" s="10"/>
      <c r="D218" s="9"/>
      <c r="E218" s="9"/>
      <c r="F218" s="9"/>
      <c r="G218" s="9"/>
      <c r="H218" s="9"/>
      <c r="I218" s="12"/>
      <c r="J218" s="103"/>
      <c r="K218" s="9"/>
      <c r="L218" s="9"/>
      <c r="M218" s="9"/>
      <c r="N218" s="9"/>
      <c r="O218" s="9"/>
      <c r="P218" s="9"/>
      <c r="Q218" s="9"/>
      <c r="R218" s="9"/>
      <c r="S218" s="9"/>
      <c r="T218" s="9"/>
      <c r="U218" s="9"/>
      <c r="V218" s="9"/>
    </row>
    <row r="219" spans="1:22" ht="15.75" customHeight="1">
      <c r="A219" s="9"/>
      <c r="B219" s="10"/>
      <c r="C219" s="10"/>
      <c r="D219" s="9"/>
      <c r="E219" s="9"/>
      <c r="F219" s="9"/>
      <c r="G219" s="9"/>
      <c r="H219" s="9"/>
      <c r="I219" s="12"/>
      <c r="J219" s="103"/>
      <c r="K219" s="9"/>
      <c r="L219" s="9"/>
      <c r="M219" s="9"/>
      <c r="N219" s="9"/>
      <c r="O219" s="9"/>
      <c r="P219" s="9"/>
      <c r="Q219" s="9"/>
      <c r="R219" s="9"/>
      <c r="S219" s="9"/>
      <c r="T219" s="9"/>
      <c r="U219" s="9"/>
      <c r="V219" s="9"/>
    </row>
    <row r="220" spans="1:22" ht="15.75" customHeight="1">
      <c r="A220" s="9"/>
      <c r="B220" s="10"/>
      <c r="C220" s="10"/>
      <c r="D220" s="9"/>
      <c r="E220" s="9"/>
      <c r="F220" s="9"/>
      <c r="G220" s="9"/>
      <c r="H220" s="9"/>
      <c r="I220" s="12"/>
      <c r="J220" s="103"/>
      <c r="K220" s="9"/>
      <c r="L220" s="9"/>
      <c r="M220" s="9"/>
      <c r="N220" s="9"/>
      <c r="O220" s="9"/>
      <c r="P220" s="9"/>
      <c r="Q220" s="9"/>
      <c r="R220" s="9"/>
      <c r="S220" s="9"/>
      <c r="T220" s="9"/>
      <c r="U220" s="9"/>
      <c r="V220" s="9"/>
    </row>
    <row r="221" spans="1:22" ht="15.75" customHeight="1">
      <c r="A221" s="9"/>
      <c r="B221" s="10"/>
      <c r="C221" s="10"/>
      <c r="D221" s="9"/>
      <c r="E221" s="9"/>
      <c r="F221" s="9"/>
      <c r="G221" s="9"/>
      <c r="H221" s="9"/>
      <c r="I221" s="12"/>
      <c r="J221" s="103"/>
      <c r="K221" s="9"/>
      <c r="L221" s="9"/>
      <c r="M221" s="9"/>
      <c r="N221" s="9"/>
      <c r="O221" s="9"/>
      <c r="P221" s="9"/>
      <c r="Q221" s="9"/>
      <c r="R221" s="9"/>
      <c r="S221" s="9"/>
      <c r="T221" s="9"/>
      <c r="U221" s="9"/>
      <c r="V221" s="9"/>
    </row>
    <row r="222" spans="1:22" ht="15.75" customHeight="1">
      <c r="A222" s="9"/>
      <c r="B222" s="10"/>
      <c r="C222" s="10"/>
      <c r="D222" s="9"/>
      <c r="E222" s="9"/>
      <c r="F222" s="9"/>
      <c r="G222" s="9"/>
      <c r="H222" s="9"/>
      <c r="I222" s="12"/>
      <c r="J222" s="103"/>
      <c r="K222" s="9"/>
      <c r="L222" s="9"/>
      <c r="M222" s="9"/>
      <c r="N222" s="9"/>
      <c r="O222" s="9"/>
      <c r="P222" s="9"/>
      <c r="Q222" s="9"/>
      <c r="R222" s="9"/>
      <c r="S222" s="9"/>
      <c r="T222" s="9"/>
      <c r="U222" s="9"/>
      <c r="V222" s="9"/>
    </row>
    <row r="223" spans="1:22" ht="15.75" customHeight="1">
      <c r="A223" s="9"/>
      <c r="B223" s="10"/>
      <c r="C223" s="10"/>
      <c r="D223" s="9"/>
      <c r="E223" s="9"/>
      <c r="F223" s="9"/>
      <c r="G223" s="9"/>
      <c r="H223" s="9"/>
      <c r="I223" s="12"/>
      <c r="J223" s="103"/>
      <c r="K223" s="9"/>
      <c r="L223" s="9"/>
      <c r="M223" s="9"/>
      <c r="N223" s="9"/>
      <c r="O223" s="9"/>
      <c r="P223" s="9"/>
      <c r="Q223" s="9"/>
      <c r="R223" s="9"/>
      <c r="S223" s="9"/>
      <c r="T223" s="9"/>
      <c r="U223" s="9"/>
      <c r="V223" s="9"/>
    </row>
    <row r="224" spans="1:22" ht="15.75" customHeight="1">
      <c r="A224" s="9"/>
      <c r="B224" s="10"/>
      <c r="C224" s="10"/>
      <c r="D224" s="9"/>
      <c r="E224" s="9"/>
      <c r="F224" s="9"/>
      <c r="G224" s="9"/>
      <c r="H224" s="9"/>
      <c r="I224" s="12"/>
      <c r="J224" s="103"/>
      <c r="K224" s="9"/>
      <c r="L224" s="9"/>
      <c r="M224" s="9"/>
      <c r="N224" s="9"/>
      <c r="O224" s="9"/>
      <c r="P224" s="9"/>
      <c r="Q224" s="9"/>
      <c r="R224" s="9"/>
      <c r="S224" s="9"/>
      <c r="T224" s="9"/>
      <c r="U224" s="9"/>
      <c r="V224" s="9"/>
    </row>
    <row r="225" spans="1:22" ht="15.75" customHeight="1">
      <c r="A225" s="9"/>
      <c r="B225" s="10"/>
      <c r="C225" s="10"/>
      <c r="D225" s="9"/>
      <c r="E225" s="9"/>
      <c r="F225" s="9"/>
      <c r="G225" s="9"/>
      <c r="H225" s="9"/>
      <c r="I225" s="12"/>
      <c r="J225" s="103"/>
      <c r="K225" s="9"/>
      <c r="L225" s="9"/>
      <c r="M225" s="9"/>
      <c r="N225" s="9"/>
      <c r="O225" s="9"/>
      <c r="P225" s="9"/>
      <c r="Q225" s="9"/>
      <c r="R225" s="9"/>
      <c r="S225" s="9"/>
      <c r="T225" s="9"/>
      <c r="U225" s="9"/>
      <c r="V225" s="9"/>
    </row>
    <row r="226" spans="1:22" ht="15.75" customHeight="1">
      <c r="A226" s="9"/>
      <c r="B226" s="10"/>
      <c r="C226" s="10"/>
      <c r="D226" s="9"/>
      <c r="E226" s="9"/>
      <c r="F226" s="9"/>
      <c r="G226" s="9"/>
      <c r="H226" s="9"/>
      <c r="I226" s="12"/>
      <c r="J226" s="103"/>
      <c r="K226" s="9"/>
      <c r="L226" s="9"/>
      <c r="M226" s="9"/>
      <c r="N226" s="9"/>
      <c r="O226" s="9"/>
      <c r="P226" s="9"/>
      <c r="Q226" s="9"/>
      <c r="R226" s="9"/>
      <c r="S226" s="9"/>
      <c r="T226" s="9"/>
      <c r="U226" s="9"/>
      <c r="V226" s="9"/>
    </row>
    <row r="227" spans="1:22" ht="15.75" customHeight="1">
      <c r="A227" s="9"/>
      <c r="B227" s="10"/>
      <c r="C227" s="10"/>
      <c r="D227" s="9"/>
      <c r="E227" s="9"/>
      <c r="F227" s="9"/>
      <c r="G227" s="9"/>
      <c r="H227" s="9"/>
      <c r="I227" s="12"/>
      <c r="J227" s="103"/>
      <c r="K227" s="9"/>
      <c r="L227" s="9"/>
      <c r="M227" s="9"/>
      <c r="N227" s="9"/>
      <c r="O227" s="9"/>
      <c r="P227" s="9"/>
      <c r="Q227" s="9"/>
      <c r="R227" s="9"/>
      <c r="S227" s="9"/>
      <c r="T227" s="9"/>
      <c r="U227" s="9"/>
      <c r="V227" s="9"/>
    </row>
    <row r="228" spans="1:22" ht="15.75" customHeight="1">
      <c r="A228" s="9"/>
      <c r="B228" s="10"/>
      <c r="C228" s="10"/>
      <c r="D228" s="9"/>
      <c r="E228" s="9"/>
      <c r="F228" s="9"/>
      <c r="G228" s="9"/>
      <c r="H228" s="9"/>
      <c r="I228" s="12"/>
      <c r="J228" s="103"/>
      <c r="K228" s="9"/>
      <c r="L228" s="9"/>
      <c r="M228" s="9"/>
      <c r="N228" s="9"/>
      <c r="O228" s="9"/>
      <c r="P228" s="9"/>
      <c r="Q228" s="9"/>
      <c r="R228" s="9"/>
      <c r="S228" s="9"/>
      <c r="T228" s="9"/>
      <c r="U228" s="9"/>
      <c r="V228" s="9"/>
    </row>
    <row r="229" spans="1:22" ht="15.75" customHeight="1">
      <c r="A229" s="9"/>
      <c r="B229" s="10"/>
      <c r="C229" s="10"/>
      <c r="D229" s="9"/>
      <c r="E229" s="9"/>
      <c r="F229" s="9"/>
      <c r="G229" s="9"/>
      <c r="H229" s="9"/>
      <c r="I229" s="12"/>
      <c r="J229" s="103"/>
      <c r="K229" s="9"/>
      <c r="L229" s="9"/>
      <c r="M229" s="9"/>
      <c r="N229" s="9"/>
      <c r="O229" s="9"/>
      <c r="P229" s="9"/>
      <c r="Q229" s="9"/>
      <c r="R229" s="9"/>
      <c r="S229" s="9"/>
      <c r="T229" s="9"/>
      <c r="U229" s="9"/>
      <c r="V229" s="9"/>
    </row>
    <row r="230" spans="1:22" ht="15.75" customHeight="1">
      <c r="A230" s="9"/>
      <c r="B230" s="10"/>
      <c r="C230" s="10"/>
      <c r="D230" s="9"/>
      <c r="E230" s="9"/>
      <c r="F230" s="9"/>
      <c r="G230" s="9"/>
      <c r="H230" s="9"/>
      <c r="I230" s="12"/>
      <c r="J230" s="103"/>
      <c r="K230" s="9"/>
      <c r="L230" s="9"/>
      <c r="M230" s="9"/>
      <c r="N230" s="9"/>
      <c r="O230" s="9"/>
      <c r="P230" s="9"/>
      <c r="Q230" s="9"/>
      <c r="R230" s="9"/>
      <c r="S230" s="9"/>
      <c r="T230" s="9"/>
      <c r="U230" s="9"/>
      <c r="V230" s="9"/>
    </row>
    <row r="231" spans="1:22" ht="15.75" customHeight="1">
      <c r="A231" s="9"/>
      <c r="B231" s="10"/>
      <c r="C231" s="10"/>
      <c r="D231" s="9"/>
      <c r="E231" s="9"/>
      <c r="F231" s="9"/>
      <c r="G231" s="9"/>
      <c r="H231" s="9"/>
      <c r="I231" s="12"/>
      <c r="J231" s="103"/>
      <c r="K231" s="9"/>
      <c r="L231" s="9"/>
      <c r="M231" s="9"/>
      <c r="N231" s="9"/>
      <c r="O231" s="9"/>
      <c r="P231" s="9"/>
      <c r="Q231" s="9"/>
      <c r="R231" s="9"/>
      <c r="S231" s="9"/>
      <c r="T231" s="9"/>
      <c r="U231" s="9"/>
      <c r="V231" s="9"/>
    </row>
    <row r="232" spans="1:22" ht="15.75" customHeight="1">
      <c r="A232" s="9"/>
      <c r="B232" s="10"/>
      <c r="C232" s="10"/>
      <c r="D232" s="9"/>
      <c r="E232" s="9"/>
      <c r="F232" s="9"/>
      <c r="G232" s="9"/>
      <c r="H232" s="9"/>
      <c r="I232" s="12"/>
      <c r="J232" s="103"/>
      <c r="K232" s="9"/>
      <c r="L232" s="9"/>
      <c r="M232" s="9"/>
      <c r="N232" s="9"/>
      <c r="O232" s="9"/>
      <c r="P232" s="9"/>
      <c r="Q232" s="9"/>
      <c r="R232" s="9"/>
      <c r="S232" s="9"/>
      <c r="T232" s="9"/>
      <c r="U232" s="9"/>
      <c r="V232" s="9"/>
    </row>
    <row r="233" spans="1:22" ht="15.75" customHeight="1">
      <c r="A233" s="9"/>
      <c r="B233" s="10"/>
      <c r="C233" s="10"/>
      <c r="D233" s="9"/>
      <c r="E233" s="9"/>
      <c r="F233" s="9"/>
      <c r="G233" s="9"/>
      <c r="H233" s="9"/>
      <c r="I233" s="12"/>
      <c r="J233" s="103"/>
      <c r="K233" s="9"/>
      <c r="L233" s="9"/>
      <c r="M233" s="9"/>
      <c r="N233" s="9"/>
      <c r="O233" s="9"/>
      <c r="P233" s="9"/>
      <c r="Q233" s="9"/>
      <c r="R233" s="9"/>
      <c r="S233" s="9"/>
      <c r="T233" s="9"/>
      <c r="U233" s="9"/>
      <c r="V233" s="9"/>
    </row>
    <row r="234" spans="1:22" ht="15.75" customHeight="1">
      <c r="A234" s="9"/>
      <c r="B234" s="10"/>
      <c r="C234" s="10"/>
      <c r="D234" s="9"/>
      <c r="E234" s="9"/>
      <c r="F234" s="9"/>
      <c r="G234" s="9"/>
      <c r="H234" s="9"/>
      <c r="I234" s="12"/>
      <c r="J234" s="103"/>
      <c r="K234" s="9"/>
      <c r="L234" s="9"/>
      <c r="M234" s="9"/>
      <c r="N234" s="9"/>
      <c r="O234" s="9"/>
      <c r="P234" s="9"/>
      <c r="Q234" s="9"/>
      <c r="R234" s="9"/>
      <c r="S234" s="9"/>
      <c r="T234" s="9"/>
      <c r="U234" s="9"/>
      <c r="V234" s="9"/>
    </row>
    <row r="235" spans="1:22" ht="15.75" customHeight="1">
      <c r="A235" s="9"/>
      <c r="B235" s="10"/>
      <c r="C235" s="10"/>
      <c r="D235" s="9"/>
      <c r="E235" s="9"/>
      <c r="F235" s="9"/>
      <c r="G235" s="9"/>
      <c r="H235" s="9"/>
      <c r="I235" s="12"/>
      <c r="J235" s="103"/>
      <c r="K235" s="9"/>
      <c r="L235" s="9"/>
      <c r="M235" s="9"/>
      <c r="N235" s="9"/>
      <c r="O235" s="9"/>
      <c r="P235" s="9"/>
      <c r="Q235" s="9"/>
      <c r="R235" s="9"/>
      <c r="S235" s="9"/>
      <c r="T235" s="9"/>
      <c r="U235" s="9"/>
      <c r="V235" s="9"/>
    </row>
    <row r="236" spans="1:22" ht="15.75" customHeight="1">
      <c r="A236" s="9"/>
      <c r="B236" s="10"/>
      <c r="C236" s="10"/>
      <c r="D236" s="9"/>
      <c r="E236" s="9"/>
      <c r="F236" s="9"/>
      <c r="G236" s="9"/>
      <c r="H236" s="9"/>
      <c r="I236" s="12"/>
      <c r="J236" s="103"/>
      <c r="K236" s="9"/>
      <c r="L236" s="9"/>
      <c r="M236" s="9"/>
      <c r="N236" s="9"/>
      <c r="O236" s="9"/>
      <c r="P236" s="9"/>
      <c r="Q236" s="9"/>
      <c r="R236" s="9"/>
      <c r="S236" s="9"/>
      <c r="T236" s="9"/>
      <c r="U236" s="9"/>
      <c r="V236" s="9"/>
    </row>
    <row r="237" spans="1:22" ht="15.75" customHeight="1">
      <c r="A237" s="9"/>
      <c r="B237" s="10"/>
      <c r="C237" s="10"/>
      <c r="D237" s="9"/>
      <c r="E237" s="9"/>
      <c r="F237" s="9"/>
      <c r="G237" s="9"/>
      <c r="H237" s="9"/>
      <c r="I237" s="12"/>
      <c r="J237" s="103"/>
      <c r="K237" s="9"/>
      <c r="L237" s="9"/>
      <c r="M237" s="9"/>
      <c r="N237" s="9"/>
      <c r="O237" s="9"/>
      <c r="P237" s="9"/>
      <c r="Q237" s="9"/>
      <c r="R237" s="9"/>
      <c r="S237" s="9"/>
      <c r="T237" s="9"/>
      <c r="U237" s="9"/>
      <c r="V237" s="9"/>
    </row>
    <row r="238" spans="1:22" ht="15.75" customHeight="1">
      <c r="A238" s="9"/>
      <c r="B238" s="10"/>
      <c r="C238" s="10"/>
      <c r="D238" s="9"/>
      <c r="E238" s="9"/>
      <c r="F238" s="9"/>
      <c r="G238" s="9"/>
      <c r="H238" s="9"/>
      <c r="I238" s="12"/>
      <c r="J238" s="103"/>
      <c r="K238" s="9"/>
      <c r="L238" s="9"/>
      <c r="M238" s="9"/>
      <c r="N238" s="9"/>
      <c r="O238" s="9"/>
      <c r="P238" s="9"/>
      <c r="Q238" s="9"/>
      <c r="R238" s="9"/>
      <c r="S238" s="9"/>
      <c r="T238" s="9"/>
      <c r="U238" s="9"/>
      <c r="V238" s="9"/>
    </row>
    <row r="239" spans="1:22" ht="15.75" customHeight="1">
      <c r="A239" s="9"/>
      <c r="B239" s="10"/>
      <c r="C239" s="10"/>
      <c r="D239" s="9"/>
      <c r="E239" s="9"/>
      <c r="F239" s="9"/>
      <c r="G239" s="9"/>
      <c r="H239" s="9"/>
      <c r="I239" s="12"/>
      <c r="J239" s="103"/>
      <c r="K239" s="9"/>
      <c r="L239" s="9"/>
      <c r="M239" s="9"/>
      <c r="N239" s="9"/>
      <c r="O239" s="9"/>
      <c r="P239" s="9"/>
      <c r="Q239" s="9"/>
      <c r="R239" s="9"/>
      <c r="S239" s="9"/>
      <c r="T239" s="9"/>
      <c r="U239" s="9"/>
      <c r="V239" s="9"/>
    </row>
    <row r="240" spans="1:22" ht="15.75" customHeight="1">
      <c r="A240" s="9"/>
      <c r="B240" s="10"/>
      <c r="C240" s="10"/>
      <c r="D240" s="9"/>
      <c r="E240" s="9"/>
      <c r="F240" s="9"/>
      <c r="G240" s="9"/>
      <c r="H240" s="9"/>
      <c r="I240" s="12"/>
      <c r="J240" s="103"/>
      <c r="K240" s="9"/>
      <c r="L240" s="9"/>
      <c r="M240" s="9"/>
      <c r="N240" s="9"/>
      <c r="O240" s="9"/>
      <c r="P240" s="9"/>
      <c r="Q240" s="9"/>
      <c r="R240" s="9"/>
      <c r="S240" s="9"/>
      <c r="T240" s="9"/>
      <c r="U240" s="9"/>
      <c r="V240" s="9"/>
    </row>
    <row r="241" spans="1:22" ht="15.75" customHeight="1">
      <c r="A241" s="9"/>
      <c r="B241" s="10"/>
      <c r="C241" s="10"/>
      <c r="D241" s="9"/>
      <c r="E241" s="9"/>
      <c r="F241" s="9"/>
      <c r="G241" s="9"/>
      <c r="H241" s="9"/>
      <c r="I241" s="12"/>
      <c r="J241" s="103"/>
      <c r="K241" s="9"/>
      <c r="L241" s="9"/>
      <c r="M241" s="9"/>
      <c r="N241" s="9"/>
      <c r="O241" s="9"/>
      <c r="P241" s="9"/>
      <c r="Q241" s="9"/>
      <c r="R241" s="9"/>
      <c r="S241" s="9"/>
      <c r="T241" s="9"/>
      <c r="U241" s="9"/>
      <c r="V241" s="9"/>
    </row>
    <row r="242" spans="1:22" ht="15.75" customHeight="1">
      <c r="A242" s="9"/>
      <c r="B242" s="10"/>
      <c r="C242" s="10"/>
      <c r="D242" s="9"/>
      <c r="E242" s="9"/>
      <c r="F242" s="9"/>
      <c r="G242" s="9"/>
      <c r="H242" s="9"/>
      <c r="I242" s="12"/>
      <c r="J242" s="103"/>
      <c r="K242" s="9"/>
      <c r="L242" s="9"/>
      <c r="M242" s="9"/>
      <c r="N242" s="9"/>
      <c r="O242" s="9"/>
      <c r="P242" s="9"/>
      <c r="Q242" s="9"/>
      <c r="R242" s="9"/>
      <c r="S242" s="9"/>
      <c r="T242" s="9"/>
      <c r="U242" s="9"/>
      <c r="V242" s="9"/>
    </row>
    <row r="243" spans="1:22" ht="15.75" customHeight="1">
      <c r="A243" s="9"/>
      <c r="B243" s="10"/>
      <c r="C243" s="10"/>
      <c r="D243" s="9"/>
      <c r="E243" s="9"/>
      <c r="F243" s="9"/>
      <c r="G243" s="9"/>
      <c r="H243" s="9"/>
      <c r="I243" s="12"/>
      <c r="J243" s="103"/>
      <c r="K243" s="9"/>
      <c r="L243" s="9"/>
      <c r="M243" s="9"/>
      <c r="N243" s="9"/>
      <c r="O243" s="9"/>
      <c r="P243" s="9"/>
      <c r="Q243" s="9"/>
      <c r="R243" s="9"/>
      <c r="S243" s="9"/>
      <c r="T243" s="9"/>
      <c r="U243" s="9"/>
      <c r="V243" s="9"/>
    </row>
    <row r="244" spans="1:22" ht="15.75" customHeight="1">
      <c r="A244" s="9"/>
      <c r="B244" s="10"/>
      <c r="C244" s="10"/>
      <c r="D244" s="9"/>
      <c r="E244" s="9"/>
      <c r="F244" s="9"/>
      <c r="G244" s="9"/>
      <c r="H244" s="9"/>
      <c r="I244" s="12"/>
      <c r="J244" s="103"/>
      <c r="K244" s="9"/>
      <c r="L244" s="9"/>
      <c r="M244" s="9"/>
      <c r="N244" s="9"/>
      <c r="O244" s="9"/>
      <c r="P244" s="9"/>
      <c r="Q244" s="9"/>
      <c r="R244" s="9"/>
      <c r="S244" s="9"/>
      <c r="T244" s="9"/>
      <c r="U244" s="9"/>
      <c r="V244" s="9"/>
    </row>
    <row r="245" spans="1:22" ht="15.75" customHeight="1">
      <c r="A245" s="9"/>
      <c r="B245" s="10"/>
      <c r="C245" s="10"/>
      <c r="D245" s="9"/>
      <c r="E245" s="9"/>
      <c r="F245" s="9"/>
      <c r="G245" s="9"/>
      <c r="H245" s="9"/>
      <c r="I245" s="12"/>
      <c r="J245" s="103"/>
      <c r="K245" s="9"/>
      <c r="L245" s="9"/>
      <c r="M245" s="9"/>
      <c r="N245" s="9"/>
      <c r="O245" s="9"/>
      <c r="P245" s="9"/>
      <c r="Q245" s="9"/>
      <c r="R245" s="9"/>
      <c r="S245" s="9"/>
      <c r="T245" s="9"/>
      <c r="U245" s="9"/>
      <c r="V245" s="9"/>
    </row>
    <row r="246" spans="1:22" ht="15.75" customHeight="1">
      <c r="A246" s="9"/>
      <c r="B246" s="10"/>
      <c r="C246" s="10"/>
      <c r="D246" s="9"/>
      <c r="E246" s="9"/>
      <c r="F246" s="9"/>
      <c r="G246" s="9"/>
      <c r="H246" s="9"/>
      <c r="I246" s="12"/>
      <c r="J246" s="103"/>
      <c r="K246" s="9"/>
      <c r="L246" s="9"/>
      <c r="M246" s="9"/>
      <c r="N246" s="9"/>
      <c r="O246" s="9"/>
      <c r="P246" s="9"/>
      <c r="Q246" s="9"/>
      <c r="R246" s="9"/>
      <c r="S246" s="9"/>
      <c r="T246" s="9"/>
      <c r="U246" s="9"/>
      <c r="V246" s="9"/>
    </row>
    <row r="247" spans="1:22" ht="15.75" customHeight="1">
      <c r="A247" s="9"/>
      <c r="B247" s="10"/>
      <c r="C247" s="10"/>
      <c r="D247" s="9"/>
      <c r="E247" s="9"/>
      <c r="F247" s="9"/>
      <c r="G247" s="9"/>
      <c r="H247" s="9"/>
      <c r="I247" s="12"/>
      <c r="J247" s="103"/>
      <c r="K247" s="9"/>
      <c r="L247" s="9"/>
      <c r="M247" s="9"/>
      <c r="N247" s="9"/>
      <c r="O247" s="9"/>
      <c r="P247" s="9"/>
      <c r="Q247" s="9"/>
      <c r="R247" s="9"/>
      <c r="S247" s="9"/>
      <c r="T247" s="9"/>
      <c r="U247" s="9"/>
      <c r="V247" s="9"/>
    </row>
    <row r="248" spans="1:22" ht="15.75" customHeight="1">
      <c r="A248" s="9"/>
      <c r="B248" s="10"/>
      <c r="C248" s="10"/>
      <c r="D248" s="9"/>
      <c r="E248" s="9"/>
      <c r="F248" s="9"/>
      <c r="G248" s="9"/>
      <c r="H248" s="9"/>
      <c r="I248" s="12"/>
      <c r="J248" s="103"/>
      <c r="K248" s="9"/>
      <c r="L248" s="9"/>
      <c r="M248" s="9"/>
      <c r="N248" s="9"/>
      <c r="O248" s="9"/>
      <c r="P248" s="9"/>
      <c r="Q248" s="9"/>
      <c r="R248" s="9"/>
      <c r="S248" s="9"/>
      <c r="T248" s="9"/>
      <c r="U248" s="9"/>
      <c r="V248" s="9"/>
    </row>
    <row r="249" spans="1:22" ht="15.75" customHeight="1">
      <c r="A249" s="9"/>
      <c r="B249" s="10"/>
      <c r="C249" s="10"/>
      <c r="D249" s="9"/>
      <c r="E249" s="9"/>
      <c r="F249" s="9"/>
      <c r="G249" s="9"/>
      <c r="H249" s="9"/>
      <c r="I249" s="12"/>
      <c r="J249" s="103"/>
      <c r="K249" s="9"/>
      <c r="L249" s="9"/>
      <c r="M249" s="9"/>
      <c r="N249" s="9"/>
      <c r="O249" s="9"/>
      <c r="P249" s="9"/>
      <c r="Q249" s="9"/>
      <c r="R249" s="9"/>
      <c r="S249" s="9"/>
      <c r="T249" s="9"/>
      <c r="U249" s="9"/>
      <c r="V249" s="9"/>
    </row>
    <row r="250" spans="1:22" ht="15.75" customHeight="1">
      <c r="A250" s="9"/>
      <c r="B250" s="10"/>
      <c r="C250" s="10"/>
      <c r="D250" s="9"/>
      <c r="E250" s="9"/>
      <c r="F250" s="9"/>
      <c r="G250" s="9"/>
      <c r="H250" s="9"/>
      <c r="I250" s="12"/>
      <c r="J250" s="103"/>
      <c r="K250" s="9"/>
      <c r="L250" s="9"/>
      <c r="M250" s="9"/>
      <c r="N250" s="9"/>
      <c r="O250" s="9"/>
      <c r="P250" s="9"/>
      <c r="Q250" s="9"/>
      <c r="R250" s="9"/>
      <c r="S250" s="9"/>
      <c r="T250" s="9"/>
      <c r="U250" s="9"/>
      <c r="V250" s="9"/>
    </row>
    <row r="251" spans="1:22" ht="15.75" customHeight="1">
      <c r="A251" s="9"/>
      <c r="B251" s="10"/>
      <c r="C251" s="10"/>
      <c r="D251" s="9"/>
      <c r="E251" s="9"/>
      <c r="F251" s="9"/>
      <c r="G251" s="9"/>
      <c r="H251" s="9"/>
      <c r="I251" s="12"/>
      <c r="J251" s="103"/>
      <c r="K251" s="9"/>
      <c r="L251" s="9"/>
      <c r="M251" s="9"/>
      <c r="N251" s="9"/>
      <c r="O251" s="9"/>
      <c r="P251" s="9"/>
      <c r="Q251" s="9"/>
      <c r="R251" s="9"/>
      <c r="S251" s="9"/>
      <c r="T251" s="9"/>
      <c r="U251" s="9"/>
      <c r="V251" s="9"/>
    </row>
    <row r="252" spans="1:22" ht="15.75" customHeight="1">
      <c r="A252" s="9"/>
      <c r="B252" s="10"/>
      <c r="C252" s="10"/>
      <c r="D252" s="9"/>
      <c r="E252" s="9"/>
      <c r="F252" s="9"/>
      <c r="G252" s="9"/>
      <c r="H252" s="9"/>
      <c r="I252" s="12"/>
      <c r="J252" s="103"/>
      <c r="K252" s="9"/>
      <c r="L252" s="9"/>
      <c r="M252" s="9"/>
      <c r="N252" s="9"/>
      <c r="O252" s="9"/>
      <c r="P252" s="9"/>
      <c r="Q252" s="9"/>
      <c r="R252" s="9"/>
      <c r="S252" s="9"/>
      <c r="T252" s="9"/>
      <c r="U252" s="9"/>
      <c r="V252" s="9"/>
    </row>
    <row r="253" spans="1:22" ht="15.75" customHeight="1">
      <c r="A253" s="9"/>
      <c r="B253" s="10"/>
      <c r="C253" s="10"/>
      <c r="D253" s="9"/>
      <c r="E253" s="9"/>
      <c r="F253" s="9"/>
      <c r="G253" s="9"/>
      <c r="H253" s="9"/>
      <c r="I253" s="12"/>
      <c r="J253" s="103"/>
      <c r="K253" s="9"/>
      <c r="L253" s="9"/>
      <c r="M253" s="9"/>
      <c r="N253" s="9"/>
      <c r="O253" s="9"/>
      <c r="P253" s="9"/>
      <c r="Q253" s="9"/>
      <c r="R253" s="9"/>
      <c r="S253" s="9"/>
      <c r="T253" s="9"/>
      <c r="U253" s="9"/>
      <c r="V253" s="9"/>
    </row>
    <row r="254" spans="1:22" ht="15.75" customHeight="1">
      <c r="A254" s="9"/>
      <c r="B254" s="10"/>
      <c r="C254" s="10"/>
      <c r="D254" s="9"/>
      <c r="E254" s="9"/>
      <c r="F254" s="9"/>
      <c r="G254" s="9"/>
      <c r="H254" s="9"/>
      <c r="I254" s="12"/>
      <c r="J254" s="103"/>
      <c r="K254" s="9"/>
      <c r="L254" s="9"/>
      <c r="M254" s="9"/>
      <c r="N254" s="9"/>
      <c r="O254" s="9"/>
      <c r="P254" s="9"/>
      <c r="Q254" s="9"/>
      <c r="R254" s="9"/>
      <c r="S254" s="9"/>
      <c r="T254" s="9"/>
      <c r="U254" s="9"/>
      <c r="V254" s="9"/>
    </row>
    <row r="255" spans="1:22" ht="15.75" customHeight="1">
      <c r="A255" s="9"/>
      <c r="B255" s="10"/>
      <c r="C255" s="10"/>
      <c r="D255" s="9"/>
      <c r="E255" s="9"/>
      <c r="F255" s="9"/>
      <c r="G255" s="9"/>
      <c r="H255" s="9"/>
      <c r="I255" s="12"/>
      <c r="J255" s="103"/>
      <c r="K255" s="9"/>
      <c r="L255" s="9"/>
      <c r="M255" s="9"/>
      <c r="N255" s="9"/>
      <c r="O255" s="9"/>
      <c r="P255" s="9"/>
      <c r="Q255" s="9"/>
      <c r="R255" s="9"/>
      <c r="S255" s="9"/>
      <c r="T255" s="9"/>
      <c r="U255" s="9"/>
      <c r="V255" s="9"/>
    </row>
    <row r="256" spans="1:22" ht="15.75" customHeight="1">
      <c r="A256" s="9"/>
      <c r="B256" s="10"/>
      <c r="C256" s="10"/>
      <c r="D256" s="9"/>
      <c r="E256" s="9"/>
      <c r="F256" s="9"/>
      <c r="G256" s="9"/>
      <c r="H256" s="9"/>
      <c r="I256" s="12"/>
      <c r="J256" s="103"/>
      <c r="K256" s="9"/>
      <c r="L256" s="9"/>
      <c r="M256" s="9"/>
      <c r="N256" s="9"/>
      <c r="O256" s="9"/>
      <c r="P256" s="9"/>
      <c r="Q256" s="9"/>
      <c r="R256" s="9"/>
      <c r="S256" s="9"/>
      <c r="T256" s="9"/>
      <c r="U256" s="9"/>
      <c r="V256" s="9"/>
    </row>
    <row r="257" spans="1:22" ht="15.75" customHeight="1">
      <c r="A257" s="9"/>
      <c r="B257" s="10"/>
      <c r="C257" s="10"/>
      <c r="D257" s="9"/>
      <c r="E257" s="9"/>
      <c r="F257" s="9"/>
      <c r="G257" s="9"/>
      <c r="H257" s="9"/>
      <c r="I257" s="12"/>
      <c r="J257" s="103"/>
      <c r="K257" s="9"/>
      <c r="L257" s="9"/>
      <c r="M257" s="9"/>
      <c r="N257" s="9"/>
      <c r="O257" s="9"/>
      <c r="P257" s="9"/>
      <c r="Q257" s="9"/>
      <c r="R257" s="9"/>
      <c r="S257" s="9"/>
      <c r="T257" s="9"/>
      <c r="U257" s="9"/>
      <c r="V257" s="9"/>
    </row>
    <row r="258" spans="1:22" ht="15.75" customHeight="1">
      <c r="A258" s="9"/>
      <c r="B258" s="10"/>
      <c r="C258" s="10"/>
      <c r="D258" s="9"/>
      <c r="E258" s="9"/>
      <c r="F258" s="9"/>
      <c r="G258" s="9"/>
      <c r="H258" s="9"/>
      <c r="I258" s="12"/>
      <c r="J258" s="103"/>
      <c r="K258" s="9"/>
      <c r="L258" s="9"/>
      <c r="M258" s="9"/>
      <c r="N258" s="9"/>
      <c r="O258" s="9"/>
      <c r="P258" s="9"/>
      <c r="Q258" s="9"/>
      <c r="R258" s="9"/>
      <c r="S258" s="9"/>
      <c r="T258" s="9"/>
      <c r="U258" s="9"/>
      <c r="V258" s="9"/>
    </row>
    <row r="259" spans="1:22" ht="15.75" customHeight="1">
      <c r="A259" s="9"/>
      <c r="B259" s="10"/>
      <c r="C259" s="10"/>
      <c r="D259" s="9"/>
      <c r="E259" s="9"/>
      <c r="F259" s="9"/>
      <c r="G259" s="9"/>
      <c r="H259" s="9"/>
      <c r="I259" s="12"/>
      <c r="J259" s="103"/>
      <c r="K259" s="9"/>
      <c r="L259" s="9"/>
      <c r="M259" s="9"/>
      <c r="N259" s="9"/>
      <c r="O259" s="9"/>
      <c r="P259" s="9"/>
      <c r="Q259" s="9"/>
      <c r="R259" s="9"/>
      <c r="S259" s="9"/>
      <c r="T259" s="9"/>
      <c r="U259" s="9"/>
      <c r="V259" s="9"/>
    </row>
    <row r="260" spans="1:22" ht="15.75" customHeight="1">
      <c r="A260" s="9"/>
      <c r="B260" s="10"/>
      <c r="C260" s="10"/>
      <c r="D260" s="9"/>
      <c r="E260" s="9"/>
      <c r="F260" s="9"/>
      <c r="G260" s="9"/>
      <c r="H260" s="9"/>
      <c r="I260" s="12"/>
      <c r="J260" s="103"/>
      <c r="K260" s="9"/>
      <c r="L260" s="9"/>
      <c r="M260" s="9"/>
      <c r="N260" s="9"/>
      <c r="O260" s="9"/>
      <c r="P260" s="9"/>
      <c r="Q260" s="9"/>
      <c r="R260" s="9"/>
      <c r="S260" s="9"/>
      <c r="T260" s="9"/>
      <c r="U260" s="9"/>
      <c r="V260" s="9"/>
    </row>
    <row r="261" spans="1:22" ht="15.75" customHeight="1">
      <c r="A261" s="9"/>
      <c r="B261" s="10"/>
      <c r="C261" s="10"/>
      <c r="D261" s="9"/>
      <c r="E261" s="9"/>
      <c r="F261" s="9"/>
      <c r="G261" s="9"/>
      <c r="H261" s="9"/>
      <c r="I261" s="12"/>
      <c r="J261" s="103"/>
      <c r="K261" s="9"/>
      <c r="L261" s="9"/>
      <c r="M261" s="9"/>
      <c r="N261" s="9"/>
      <c r="O261" s="9"/>
      <c r="P261" s="9"/>
      <c r="Q261" s="9"/>
      <c r="R261" s="9"/>
      <c r="S261" s="9"/>
      <c r="T261" s="9"/>
      <c r="U261" s="9"/>
      <c r="V261" s="9"/>
    </row>
    <row r="262" spans="1:22" ht="15.75" customHeight="1">
      <c r="A262" s="9"/>
      <c r="B262" s="10"/>
      <c r="C262" s="10"/>
      <c r="D262" s="9"/>
      <c r="E262" s="9"/>
      <c r="F262" s="9"/>
      <c r="G262" s="9"/>
      <c r="H262" s="9"/>
      <c r="I262" s="12"/>
      <c r="J262" s="103"/>
      <c r="K262" s="9"/>
      <c r="L262" s="9"/>
      <c r="M262" s="9"/>
      <c r="N262" s="9"/>
      <c r="O262" s="9"/>
      <c r="P262" s="9"/>
      <c r="Q262" s="9"/>
      <c r="R262" s="9"/>
      <c r="S262" s="9"/>
      <c r="T262" s="9"/>
      <c r="U262" s="9"/>
      <c r="V262" s="9"/>
    </row>
    <row r="263" spans="1:22" ht="15.75" customHeight="1">
      <c r="A263" s="9"/>
      <c r="B263" s="10"/>
      <c r="C263" s="10"/>
      <c r="D263" s="9"/>
      <c r="E263" s="9"/>
      <c r="F263" s="9"/>
      <c r="G263" s="9"/>
      <c r="H263" s="9"/>
      <c r="I263" s="12"/>
      <c r="J263" s="103"/>
      <c r="K263" s="9"/>
      <c r="L263" s="9"/>
      <c r="M263" s="9"/>
      <c r="N263" s="9"/>
      <c r="O263" s="9"/>
      <c r="P263" s="9"/>
      <c r="Q263" s="9"/>
      <c r="R263" s="9"/>
      <c r="S263" s="9"/>
      <c r="T263" s="9"/>
      <c r="U263" s="9"/>
      <c r="V263" s="9"/>
    </row>
    <row r="264" spans="1:22" ht="15.75" customHeight="1">
      <c r="A264" s="9"/>
      <c r="B264" s="10"/>
      <c r="C264" s="10"/>
      <c r="D264" s="9"/>
      <c r="E264" s="9"/>
      <c r="F264" s="9"/>
      <c r="G264" s="9"/>
      <c r="H264" s="9"/>
      <c r="I264" s="12"/>
      <c r="J264" s="103"/>
      <c r="K264" s="9"/>
      <c r="L264" s="9"/>
      <c r="M264" s="9"/>
      <c r="N264" s="9"/>
      <c r="O264" s="9"/>
      <c r="P264" s="9"/>
      <c r="Q264" s="9"/>
      <c r="R264" s="9"/>
      <c r="S264" s="9"/>
      <c r="T264" s="9"/>
      <c r="U264" s="9"/>
      <c r="V264" s="9"/>
    </row>
    <row r="265" spans="1:22" ht="15.75" customHeight="1">
      <c r="A265" s="9"/>
      <c r="B265" s="10"/>
      <c r="C265" s="10"/>
      <c r="D265" s="9"/>
      <c r="E265" s="9"/>
      <c r="F265" s="9"/>
      <c r="G265" s="9"/>
      <c r="H265" s="9"/>
      <c r="I265" s="12"/>
      <c r="J265" s="103"/>
      <c r="K265" s="9"/>
      <c r="L265" s="9"/>
      <c r="M265" s="9"/>
      <c r="N265" s="9"/>
      <c r="O265" s="9"/>
      <c r="P265" s="9"/>
      <c r="Q265" s="9"/>
      <c r="R265" s="9"/>
      <c r="S265" s="9"/>
      <c r="T265" s="9"/>
      <c r="U265" s="9"/>
      <c r="V265" s="9"/>
    </row>
    <row r="266" spans="1:22" ht="15.75" customHeight="1">
      <c r="A266" s="9"/>
      <c r="B266" s="10"/>
      <c r="C266" s="10"/>
      <c r="D266" s="9"/>
      <c r="E266" s="9"/>
      <c r="F266" s="9"/>
      <c r="G266" s="9"/>
      <c r="H266" s="9"/>
      <c r="I266" s="12"/>
      <c r="J266" s="103"/>
      <c r="K266" s="9"/>
      <c r="L266" s="9"/>
      <c r="M266" s="9"/>
      <c r="N266" s="9"/>
      <c r="O266" s="9"/>
      <c r="P266" s="9"/>
      <c r="Q266" s="9"/>
      <c r="R266" s="9"/>
      <c r="S266" s="9"/>
      <c r="T266" s="9"/>
      <c r="U266" s="9"/>
      <c r="V266" s="9"/>
    </row>
    <row r="267" spans="1:22" ht="15.75" customHeight="1">
      <c r="A267" s="9"/>
      <c r="B267" s="10"/>
      <c r="C267" s="10"/>
      <c r="D267" s="9"/>
      <c r="E267" s="9"/>
      <c r="F267" s="9"/>
      <c r="G267" s="9"/>
      <c r="H267" s="9"/>
      <c r="I267" s="12"/>
      <c r="J267" s="103"/>
      <c r="K267" s="9"/>
      <c r="L267" s="9"/>
      <c r="M267" s="9"/>
      <c r="N267" s="9"/>
      <c r="O267" s="9"/>
      <c r="P267" s="9"/>
      <c r="Q267" s="9"/>
      <c r="R267" s="9"/>
      <c r="S267" s="9"/>
      <c r="T267" s="9"/>
      <c r="U267" s="9"/>
      <c r="V267" s="9"/>
    </row>
    <row r="268" spans="1:22" ht="15.75" customHeight="1">
      <c r="A268" s="9"/>
      <c r="B268" s="10"/>
      <c r="C268" s="10"/>
      <c r="D268" s="9"/>
      <c r="E268" s="9"/>
      <c r="F268" s="9"/>
      <c r="G268" s="9"/>
      <c r="H268" s="9"/>
      <c r="I268" s="12"/>
      <c r="J268" s="103"/>
      <c r="K268" s="9"/>
      <c r="L268" s="9"/>
      <c r="M268" s="9"/>
      <c r="N268" s="9"/>
      <c r="O268" s="9"/>
      <c r="P268" s="9"/>
      <c r="Q268" s="9"/>
      <c r="R268" s="9"/>
      <c r="S268" s="9"/>
      <c r="T268" s="9"/>
      <c r="U268" s="9"/>
      <c r="V268" s="9"/>
    </row>
    <row r="269" spans="1:22" ht="15.75" customHeight="1">
      <c r="A269" s="9"/>
      <c r="B269" s="10"/>
      <c r="C269" s="10"/>
      <c r="D269" s="9"/>
      <c r="E269" s="9"/>
      <c r="F269" s="9"/>
      <c r="G269" s="9"/>
      <c r="H269" s="9"/>
      <c r="I269" s="12"/>
      <c r="J269" s="103"/>
      <c r="K269" s="9"/>
      <c r="L269" s="9"/>
      <c r="M269" s="9"/>
      <c r="N269" s="9"/>
      <c r="O269" s="9"/>
      <c r="P269" s="9"/>
      <c r="Q269" s="9"/>
      <c r="R269" s="9"/>
      <c r="S269" s="9"/>
      <c r="T269" s="9"/>
      <c r="U269" s="9"/>
      <c r="V269" s="9"/>
    </row>
    <row r="270" spans="1:22" ht="15.75" customHeight="1">
      <c r="A270" s="9"/>
      <c r="B270" s="10"/>
      <c r="C270" s="10"/>
      <c r="D270" s="9"/>
      <c r="E270" s="9"/>
      <c r="F270" s="9"/>
      <c r="G270" s="9"/>
      <c r="H270" s="9"/>
      <c r="I270" s="12"/>
      <c r="J270" s="103"/>
      <c r="K270" s="9"/>
      <c r="L270" s="9"/>
      <c r="M270" s="9"/>
      <c r="N270" s="9"/>
      <c r="O270" s="9"/>
      <c r="P270" s="9"/>
      <c r="Q270" s="9"/>
      <c r="R270" s="9"/>
      <c r="S270" s="9"/>
      <c r="T270" s="9"/>
      <c r="U270" s="9"/>
      <c r="V270" s="9"/>
    </row>
    <row r="271" spans="1:22" ht="15.75" customHeight="1">
      <c r="A271" s="9"/>
      <c r="B271" s="10"/>
      <c r="C271" s="10"/>
      <c r="D271" s="9"/>
      <c r="E271" s="9"/>
      <c r="F271" s="9"/>
      <c r="G271" s="9"/>
      <c r="H271" s="9"/>
      <c r="I271" s="12"/>
      <c r="J271" s="103"/>
      <c r="K271" s="9"/>
      <c r="L271" s="9"/>
      <c r="M271" s="9"/>
      <c r="N271" s="9"/>
      <c r="O271" s="9"/>
      <c r="P271" s="9"/>
      <c r="Q271" s="9"/>
      <c r="R271" s="9"/>
      <c r="S271" s="9"/>
      <c r="T271" s="9"/>
      <c r="U271" s="9"/>
      <c r="V271" s="9"/>
    </row>
    <row r="272" spans="1:22" ht="15.75" customHeight="1">
      <c r="A272" s="9"/>
      <c r="B272" s="10"/>
      <c r="C272" s="10"/>
      <c r="D272" s="9"/>
      <c r="E272" s="9"/>
      <c r="F272" s="9"/>
      <c r="G272" s="9"/>
      <c r="H272" s="9"/>
      <c r="I272" s="12"/>
      <c r="J272" s="103"/>
      <c r="K272" s="9"/>
      <c r="L272" s="9"/>
      <c r="M272" s="9"/>
      <c r="N272" s="9"/>
      <c r="O272" s="9"/>
      <c r="P272" s="9"/>
      <c r="Q272" s="9"/>
      <c r="R272" s="9"/>
      <c r="S272" s="9"/>
      <c r="T272" s="9"/>
      <c r="U272" s="9"/>
      <c r="V272" s="9"/>
    </row>
    <row r="273" spans="1:22" ht="15.75" customHeight="1">
      <c r="A273" s="9"/>
      <c r="B273" s="10"/>
      <c r="C273" s="10"/>
      <c r="D273" s="9"/>
      <c r="E273" s="9"/>
      <c r="F273" s="9"/>
      <c r="G273" s="9"/>
      <c r="H273" s="9"/>
      <c r="I273" s="12"/>
      <c r="J273" s="103"/>
      <c r="K273" s="9"/>
      <c r="L273" s="9"/>
      <c r="M273" s="9"/>
      <c r="N273" s="9"/>
      <c r="O273" s="9"/>
      <c r="P273" s="9"/>
      <c r="Q273" s="9"/>
      <c r="R273" s="9"/>
      <c r="S273" s="9"/>
      <c r="T273" s="9"/>
      <c r="U273" s="9"/>
      <c r="V273" s="9"/>
    </row>
    <row r="274" spans="1:22" ht="15.75" customHeight="1">
      <c r="A274" s="9"/>
      <c r="B274" s="10"/>
      <c r="C274" s="10"/>
      <c r="D274" s="9"/>
      <c r="E274" s="9"/>
      <c r="F274" s="9"/>
      <c r="G274" s="9"/>
      <c r="H274" s="9"/>
      <c r="I274" s="12"/>
      <c r="J274" s="103"/>
      <c r="K274" s="9"/>
      <c r="L274" s="9"/>
      <c r="M274" s="9"/>
      <c r="N274" s="9"/>
      <c r="O274" s="9"/>
      <c r="P274" s="9"/>
      <c r="Q274" s="9"/>
      <c r="R274" s="9"/>
      <c r="S274" s="9"/>
      <c r="T274" s="9"/>
      <c r="U274" s="9"/>
      <c r="V274" s="9"/>
    </row>
    <row r="275" spans="1:22" ht="15.75" customHeight="1">
      <c r="A275" s="9"/>
      <c r="B275" s="10"/>
      <c r="C275" s="10"/>
      <c r="D275" s="9"/>
      <c r="E275" s="9"/>
      <c r="F275" s="9"/>
      <c r="G275" s="9"/>
      <c r="H275" s="9"/>
      <c r="I275" s="12"/>
      <c r="J275" s="103"/>
      <c r="K275" s="9"/>
      <c r="L275" s="9"/>
      <c r="M275" s="9"/>
      <c r="N275" s="9"/>
      <c r="O275" s="9"/>
      <c r="P275" s="9"/>
      <c r="Q275" s="9"/>
      <c r="R275" s="9"/>
      <c r="S275" s="9"/>
      <c r="T275" s="9"/>
      <c r="U275" s="9"/>
      <c r="V275" s="9"/>
    </row>
    <row r="276" spans="1:22" ht="15.75" customHeight="1">
      <c r="A276" s="9"/>
      <c r="B276" s="10"/>
      <c r="C276" s="10"/>
      <c r="D276" s="9"/>
      <c r="E276" s="9"/>
      <c r="F276" s="9"/>
      <c r="G276" s="9"/>
      <c r="H276" s="9"/>
      <c r="I276" s="12"/>
      <c r="J276" s="103"/>
      <c r="K276" s="9"/>
      <c r="L276" s="9"/>
      <c r="M276" s="9"/>
      <c r="N276" s="9"/>
      <c r="O276" s="9"/>
      <c r="P276" s="9"/>
      <c r="Q276" s="9"/>
      <c r="R276" s="9"/>
      <c r="S276" s="9"/>
      <c r="T276" s="9"/>
      <c r="U276" s="9"/>
      <c r="V276" s="9"/>
    </row>
    <row r="277" spans="1:22" ht="15.75" customHeight="1">
      <c r="A277" s="9"/>
      <c r="B277" s="10"/>
      <c r="C277" s="10"/>
      <c r="D277" s="9"/>
      <c r="E277" s="9"/>
      <c r="F277" s="9"/>
      <c r="G277" s="9"/>
      <c r="H277" s="9"/>
      <c r="I277" s="12"/>
      <c r="J277" s="103"/>
      <c r="K277" s="9"/>
      <c r="L277" s="9"/>
      <c r="M277" s="9"/>
      <c r="N277" s="9"/>
      <c r="O277" s="9"/>
      <c r="P277" s="9"/>
      <c r="Q277" s="9"/>
      <c r="R277" s="9"/>
      <c r="S277" s="9"/>
      <c r="T277" s="9"/>
      <c r="U277" s="9"/>
      <c r="V277" s="9"/>
    </row>
    <row r="278" spans="1:22" ht="15.75" customHeight="1">
      <c r="A278" s="9"/>
      <c r="B278" s="10"/>
      <c r="C278" s="10"/>
      <c r="D278" s="9"/>
      <c r="E278" s="9"/>
      <c r="F278" s="9"/>
      <c r="G278" s="9"/>
      <c r="H278" s="9"/>
      <c r="I278" s="12"/>
      <c r="J278" s="103"/>
      <c r="K278" s="9"/>
      <c r="L278" s="9"/>
      <c r="M278" s="9"/>
      <c r="N278" s="9"/>
      <c r="O278" s="9"/>
      <c r="P278" s="9"/>
      <c r="Q278" s="9"/>
      <c r="R278" s="9"/>
      <c r="S278" s="9"/>
      <c r="T278" s="9"/>
      <c r="U278" s="9"/>
      <c r="V278" s="9"/>
    </row>
    <row r="279" spans="1:22" ht="15.75" customHeight="1">
      <c r="A279" s="9"/>
      <c r="B279" s="10"/>
      <c r="C279" s="10"/>
      <c r="D279" s="9"/>
      <c r="E279" s="9"/>
      <c r="F279" s="9"/>
      <c r="G279" s="9"/>
      <c r="H279" s="9"/>
      <c r="I279" s="12"/>
      <c r="J279" s="103"/>
      <c r="K279" s="9"/>
      <c r="L279" s="9"/>
      <c r="M279" s="9"/>
      <c r="N279" s="9"/>
      <c r="O279" s="9"/>
      <c r="P279" s="9"/>
      <c r="Q279" s="9"/>
      <c r="R279" s="9"/>
      <c r="S279" s="9"/>
      <c r="T279" s="9"/>
      <c r="U279" s="9"/>
      <c r="V279" s="9"/>
    </row>
    <row r="280" spans="1:22" ht="15.75" customHeight="1">
      <c r="A280" s="9"/>
      <c r="B280" s="10"/>
      <c r="C280" s="10"/>
      <c r="D280" s="9"/>
      <c r="E280" s="9"/>
      <c r="F280" s="9"/>
      <c r="G280" s="9"/>
      <c r="H280" s="9"/>
      <c r="I280" s="12"/>
      <c r="J280" s="103"/>
      <c r="K280" s="9"/>
      <c r="L280" s="9"/>
      <c r="M280" s="9"/>
      <c r="N280" s="9"/>
      <c r="O280" s="9"/>
      <c r="P280" s="9"/>
      <c r="Q280" s="9"/>
      <c r="R280" s="9"/>
      <c r="S280" s="9"/>
      <c r="T280" s="9"/>
      <c r="U280" s="9"/>
      <c r="V280" s="9"/>
    </row>
    <row r="281" spans="1:22" ht="15.75" customHeight="1">
      <c r="A281" s="9"/>
      <c r="B281" s="10"/>
      <c r="C281" s="10"/>
      <c r="D281" s="9"/>
      <c r="E281" s="9"/>
      <c r="F281" s="9"/>
      <c r="G281" s="9"/>
      <c r="H281" s="9"/>
      <c r="I281" s="12"/>
      <c r="J281" s="103"/>
      <c r="K281" s="9"/>
      <c r="L281" s="9"/>
      <c r="M281" s="9"/>
      <c r="N281" s="9"/>
      <c r="O281" s="9"/>
      <c r="P281" s="9"/>
      <c r="Q281" s="9"/>
      <c r="R281" s="9"/>
      <c r="S281" s="9"/>
      <c r="T281" s="9"/>
      <c r="U281" s="9"/>
      <c r="V281" s="9"/>
    </row>
    <row r="282" spans="1:22" ht="15.75" customHeight="1">
      <c r="A282" s="9"/>
      <c r="B282" s="10"/>
      <c r="C282" s="10"/>
      <c r="D282" s="9"/>
      <c r="E282" s="9"/>
      <c r="F282" s="9"/>
      <c r="G282" s="9"/>
      <c r="H282" s="9"/>
      <c r="I282" s="12"/>
      <c r="J282" s="103"/>
      <c r="K282" s="9"/>
      <c r="L282" s="9"/>
      <c r="M282" s="9"/>
      <c r="N282" s="9"/>
      <c r="O282" s="9"/>
      <c r="P282" s="9"/>
      <c r="Q282" s="9"/>
      <c r="R282" s="9"/>
      <c r="S282" s="9"/>
      <c r="T282" s="9"/>
      <c r="U282" s="9"/>
      <c r="V282" s="9"/>
    </row>
    <row r="283" spans="1:22" ht="15.75" customHeight="1">
      <c r="A283" s="9"/>
      <c r="B283" s="10"/>
      <c r="C283" s="10"/>
      <c r="D283" s="9"/>
      <c r="E283" s="9"/>
      <c r="F283" s="9"/>
      <c r="G283" s="9"/>
      <c r="H283" s="9"/>
      <c r="I283" s="12"/>
      <c r="J283" s="103"/>
      <c r="K283" s="9"/>
      <c r="L283" s="9"/>
      <c r="M283" s="9"/>
      <c r="N283" s="9"/>
      <c r="O283" s="9"/>
      <c r="P283" s="9"/>
      <c r="Q283" s="9"/>
      <c r="R283" s="9"/>
      <c r="S283" s="9"/>
      <c r="T283" s="9"/>
      <c r="U283" s="9"/>
      <c r="V283" s="9"/>
    </row>
    <row r="284" spans="1:22" ht="15.75" customHeight="1">
      <c r="A284" s="9"/>
      <c r="B284" s="10"/>
      <c r="C284" s="10"/>
      <c r="D284" s="9"/>
      <c r="E284" s="9"/>
      <c r="F284" s="9"/>
      <c r="G284" s="9"/>
      <c r="H284" s="9"/>
      <c r="I284" s="12"/>
      <c r="J284" s="103"/>
      <c r="K284" s="9"/>
      <c r="L284" s="9"/>
      <c r="M284" s="9"/>
      <c r="N284" s="9"/>
      <c r="O284" s="9"/>
      <c r="P284" s="9"/>
      <c r="Q284" s="9"/>
      <c r="R284" s="9"/>
      <c r="S284" s="9"/>
      <c r="T284" s="9"/>
      <c r="U284" s="9"/>
      <c r="V284" s="9"/>
    </row>
    <row r="285" spans="1:22" ht="15.75" customHeight="1">
      <c r="A285" s="9"/>
      <c r="B285" s="10"/>
      <c r="C285" s="10"/>
      <c r="D285" s="9"/>
      <c r="E285" s="9"/>
      <c r="F285" s="9"/>
      <c r="G285" s="9"/>
      <c r="H285" s="9"/>
      <c r="I285" s="12"/>
      <c r="J285" s="103"/>
      <c r="K285" s="9"/>
      <c r="L285" s="9"/>
      <c r="M285" s="9"/>
      <c r="N285" s="9"/>
      <c r="O285" s="9"/>
      <c r="P285" s="9"/>
      <c r="Q285" s="9"/>
      <c r="R285" s="9"/>
      <c r="S285" s="9"/>
      <c r="T285" s="9"/>
      <c r="U285" s="9"/>
      <c r="V285" s="9"/>
    </row>
    <row r="286" spans="1:22" ht="15.75" customHeight="1">
      <c r="A286" s="9"/>
      <c r="B286" s="10"/>
      <c r="C286" s="10"/>
      <c r="D286" s="9"/>
      <c r="E286" s="9"/>
      <c r="F286" s="9"/>
      <c r="G286" s="9"/>
      <c r="H286" s="9"/>
      <c r="I286" s="12"/>
      <c r="J286" s="103"/>
      <c r="K286" s="9"/>
      <c r="L286" s="9"/>
      <c r="M286" s="9"/>
      <c r="N286" s="9"/>
      <c r="O286" s="9"/>
      <c r="P286" s="9"/>
      <c r="Q286" s="9"/>
      <c r="R286" s="9"/>
      <c r="S286" s="9"/>
      <c r="T286" s="9"/>
      <c r="U286" s="9"/>
      <c r="V286" s="9"/>
    </row>
    <row r="287" spans="1:22" ht="15.75" customHeight="1">
      <c r="A287" s="9"/>
      <c r="B287" s="10"/>
      <c r="C287" s="10"/>
      <c r="D287" s="9"/>
      <c r="E287" s="9"/>
      <c r="F287" s="9"/>
      <c r="G287" s="9"/>
      <c r="H287" s="9"/>
      <c r="I287" s="12"/>
      <c r="J287" s="103"/>
      <c r="K287" s="9"/>
      <c r="L287" s="9"/>
      <c r="M287" s="9"/>
      <c r="N287" s="9"/>
      <c r="O287" s="9"/>
      <c r="P287" s="9"/>
      <c r="Q287" s="9"/>
      <c r="R287" s="9"/>
      <c r="S287" s="9"/>
      <c r="T287" s="9"/>
      <c r="U287" s="9"/>
      <c r="V287" s="9"/>
    </row>
    <row r="288" spans="1:22" ht="15.75" customHeight="1">
      <c r="A288" s="9"/>
      <c r="B288" s="10"/>
      <c r="C288" s="10"/>
      <c r="D288" s="9"/>
      <c r="E288" s="9"/>
      <c r="F288" s="9"/>
      <c r="G288" s="9"/>
      <c r="H288" s="9"/>
      <c r="I288" s="12"/>
      <c r="J288" s="103"/>
      <c r="K288" s="9"/>
      <c r="L288" s="9"/>
      <c r="M288" s="9"/>
      <c r="N288" s="9"/>
      <c r="O288" s="9"/>
      <c r="P288" s="9"/>
      <c r="Q288" s="9"/>
      <c r="R288" s="9"/>
      <c r="S288" s="9"/>
      <c r="T288" s="9"/>
      <c r="U288" s="9"/>
      <c r="V288" s="9"/>
    </row>
    <row r="289" spans="1:22" ht="15.75" customHeight="1">
      <c r="A289" s="9"/>
      <c r="B289" s="10"/>
      <c r="C289" s="10"/>
      <c r="D289" s="9"/>
      <c r="E289" s="9"/>
      <c r="F289" s="9"/>
      <c r="G289" s="9"/>
      <c r="H289" s="9"/>
      <c r="I289" s="12"/>
      <c r="J289" s="103"/>
      <c r="K289" s="9"/>
      <c r="L289" s="9"/>
      <c r="M289" s="9"/>
      <c r="N289" s="9"/>
      <c r="O289" s="9"/>
      <c r="P289" s="9"/>
      <c r="Q289" s="9"/>
      <c r="R289" s="9"/>
      <c r="S289" s="9"/>
      <c r="T289" s="9"/>
      <c r="U289" s="9"/>
      <c r="V289" s="9"/>
    </row>
    <row r="290" spans="1:22" ht="15.75" customHeight="1">
      <c r="A290" s="9"/>
      <c r="B290" s="10"/>
      <c r="C290" s="10"/>
      <c r="D290" s="9"/>
      <c r="E290" s="9"/>
      <c r="F290" s="9"/>
      <c r="G290" s="9"/>
      <c r="H290" s="9"/>
      <c r="I290" s="12"/>
      <c r="J290" s="103"/>
      <c r="K290" s="9"/>
      <c r="L290" s="9"/>
      <c r="M290" s="9"/>
      <c r="N290" s="9"/>
      <c r="O290" s="9"/>
      <c r="P290" s="9"/>
      <c r="Q290" s="9"/>
      <c r="R290" s="9"/>
      <c r="S290" s="9"/>
      <c r="T290" s="9"/>
      <c r="U290" s="9"/>
      <c r="V290" s="9"/>
    </row>
    <row r="291" spans="1:22" ht="15.75" customHeight="1">
      <c r="A291" s="9"/>
      <c r="B291" s="10"/>
      <c r="C291" s="10"/>
      <c r="D291" s="9"/>
      <c r="E291" s="9"/>
      <c r="F291" s="9"/>
      <c r="G291" s="9"/>
      <c r="H291" s="9"/>
      <c r="I291" s="12"/>
      <c r="J291" s="103"/>
      <c r="K291" s="9"/>
      <c r="L291" s="9"/>
      <c r="M291" s="9"/>
      <c r="N291" s="9"/>
      <c r="O291" s="9"/>
      <c r="P291" s="9"/>
      <c r="Q291" s="9"/>
      <c r="R291" s="9"/>
      <c r="S291" s="9"/>
      <c r="T291" s="9"/>
      <c r="U291" s="9"/>
      <c r="V291" s="9"/>
    </row>
    <row r="292" spans="1:22" ht="15.75" customHeight="1">
      <c r="A292" s="9"/>
      <c r="B292" s="10"/>
      <c r="C292" s="10"/>
      <c r="D292" s="9"/>
      <c r="E292" s="9"/>
      <c r="F292" s="9"/>
      <c r="G292" s="9"/>
      <c r="H292" s="9"/>
      <c r="I292" s="12"/>
      <c r="J292" s="103"/>
      <c r="K292" s="9"/>
      <c r="L292" s="9"/>
      <c r="M292" s="9"/>
      <c r="N292" s="9"/>
      <c r="O292" s="9"/>
      <c r="P292" s="9"/>
      <c r="Q292" s="9"/>
      <c r="R292" s="9"/>
      <c r="S292" s="9"/>
      <c r="T292" s="9"/>
      <c r="U292" s="9"/>
      <c r="V292" s="9"/>
    </row>
    <row r="293" spans="1:22" ht="15.75" customHeight="1">
      <c r="A293" s="9"/>
      <c r="B293" s="10"/>
      <c r="C293" s="10"/>
      <c r="D293" s="9"/>
      <c r="E293" s="9"/>
      <c r="F293" s="9"/>
      <c r="G293" s="9"/>
      <c r="H293" s="9"/>
      <c r="I293" s="12"/>
      <c r="J293" s="103"/>
      <c r="K293" s="9"/>
      <c r="L293" s="9"/>
      <c r="M293" s="9"/>
      <c r="N293" s="9"/>
      <c r="O293" s="9"/>
      <c r="P293" s="9"/>
      <c r="Q293" s="9"/>
      <c r="R293" s="9"/>
      <c r="S293" s="9"/>
      <c r="T293" s="9"/>
      <c r="U293" s="9"/>
      <c r="V293" s="9"/>
    </row>
    <row r="294" spans="1:22" ht="15.75" customHeight="1">
      <c r="A294" s="9"/>
      <c r="B294" s="10"/>
      <c r="C294" s="10"/>
      <c r="D294" s="9"/>
      <c r="E294" s="9"/>
      <c r="F294" s="9"/>
      <c r="G294" s="9"/>
      <c r="H294" s="9"/>
      <c r="I294" s="12"/>
      <c r="J294" s="103"/>
      <c r="K294" s="9"/>
      <c r="L294" s="9"/>
      <c r="M294" s="9"/>
      <c r="N294" s="9"/>
      <c r="O294" s="9"/>
      <c r="P294" s="9"/>
      <c r="Q294" s="9"/>
      <c r="R294" s="9"/>
      <c r="S294" s="9"/>
      <c r="T294" s="9"/>
      <c r="U294" s="9"/>
      <c r="V294" s="9"/>
    </row>
    <row r="295" spans="1:22" ht="15.75" customHeight="1">
      <c r="A295" s="9"/>
      <c r="B295" s="10"/>
      <c r="C295" s="10"/>
      <c r="D295" s="9"/>
      <c r="E295" s="9"/>
      <c r="F295" s="9"/>
      <c r="G295" s="9"/>
      <c r="H295" s="9"/>
      <c r="I295" s="12"/>
      <c r="J295" s="103"/>
      <c r="K295" s="9"/>
      <c r="L295" s="9"/>
      <c r="M295" s="9"/>
      <c r="N295" s="9"/>
      <c r="O295" s="9"/>
      <c r="P295" s="9"/>
      <c r="Q295" s="9"/>
      <c r="R295" s="9"/>
      <c r="S295" s="9"/>
      <c r="T295" s="9"/>
      <c r="U295" s="9"/>
      <c r="V295" s="9"/>
    </row>
    <row r="296" spans="1:22" ht="15.75" customHeight="1">
      <c r="A296" s="9"/>
      <c r="B296" s="10"/>
      <c r="C296" s="10"/>
      <c r="D296" s="9"/>
      <c r="E296" s="9"/>
      <c r="F296" s="9"/>
      <c r="G296" s="9"/>
      <c r="H296" s="9"/>
      <c r="I296" s="12"/>
      <c r="J296" s="103"/>
      <c r="K296" s="9"/>
      <c r="L296" s="9"/>
      <c r="M296" s="9"/>
      <c r="N296" s="9"/>
      <c r="O296" s="9"/>
      <c r="P296" s="9"/>
      <c r="Q296" s="9"/>
      <c r="R296" s="9"/>
      <c r="S296" s="9"/>
      <c r="T296" s="9"/>
      <c r="U296" s="9"/>
      <c r="V296" s="9"/>
    </row>
    <row r="297" spans="1:22" ht="15.75" customHeight="1">
      <c r="A297" s="9"/>
      <c r="B297" s="10"/>
      <c r="C297" s="10"/>
      <c r="D297" s="9"/>
      <c r="E297" s="9"/>
      <c r="F297" s="9"/>
      <c r="G297" s="9"/>
      <c r="H297" s="9"/>
      <c r="I297" s="12"/>
      <c r="J297" s="103"/>
      <c r="K297" s="9"/>
      <c r="L297" s="9"/>
      <c r="M297" s="9"/>
      <c r="N297" s="9"/>
      <c r="O297" s="9"/>
      <c r="P297" s="9"/>
      <c r="Q297" s="9"/>
      <c r="R297" s="9"/>
      <c r="S297" s="9"/>
      <c r="T297" s="9"/>
      <c r="U297" s="9"/>
      <c r="V297" s="9"/>
    </row>
    <row r="298" spans="1:22" ht="15.75" customHeight="1">
      <c r="A298" s="9"/>
      <c r="B298" s="10"/>
      <c r="C298" s="10"/>
      <c r="D298" s="9"/>
      <c r="E298" s="9"/>
      <c r="F298" s="9"/>
      <c r="G298" s="9"/>
      <c r="H298" s="9"/>
      <c r="I298" s="12"/>
      <c r="J298" s="103"/>
      <c r="K298" s="9"/>
      <c r="L298" s="9"/>
      <c r="M298" s="9"/>
      <c r="N298" s="9"/>
      <c r="O298" s="9"/>
      <c r="P298" s="9"/>
      <c r="Q298" s="9"/>
      <c r="R298" s="9"/>
      <c r="S298" s="9"/>
      <c r="T298" s="9"/>
      <c r="U298" s="9"/>
      <c r="V298" s="9"/>
    </row>
    <row r="299" spans="1:22" ht="15.75" customHeight="1">
      <c r="A299" s="9"/>
      <c r="B299" s="10"/>
      <c r="C299" s="10"/>
      <c r="D299" s="9"/>
      <c r="E299" s="9"/>
      <c r="F299" s="9"/>
      <c r="G299" s="9"/>
      <c r="H299" s="9"/>
      <c r="I299" s="12"/>
      <c r="J299" s="103"/>
      <c r="K299" s="9"/>
      <c r="L299" s="9"/>
      <c r="M299" s="9"/>
      <c r="N299" s="9"/>
      <c r="O299" s="9"/>
      <c r="P299" s="9"/>
      <c r="Q299" s="9"/>
      <c r="R299" s="9"/>
      <c r="S299" s="9"/>
      <c r="T299" s="9"/>
      <c r="U299" s="9"/>
      <c r="V299" s="9"/>
    </row>
    <row r="300" spans="1:22" ht="15.75" customHeight="1">
      <c r="A300" s="9"/>
      <c r="B300" s="10"/>
      <c r="C300" s="10"/>
      <c r="D300" s="9"/>
      <c r="E300" s="9"/>
      <c r="F300" s="9"/>
      <c r="G300" s="9"/>
      <c r="H300" s="9"/>
      <c r="I300" s="12"/>
      <c r="J300" s="103"/>
      <c r="K300" s="9"/>
      <c r="L300" s="9"/>
      <c r="M300" s="9"/>
      <c r="N300" s="9"/>
      <c r="O300" s="9"/>
      <c r="P300" s="9"/>
      <c r="Q300" s="9"/>
      <c r="R300" s="9"/>
      <c r="S300" s="9"/>
      <c r="T300" s="9"/>
      <c r="U300" s="9"/>
      <c r="V300" s="9"/>
    </row>
    <row r="301" spans="1:22" ht="15.75" customHeight="1">
      <c r="A301" s="9"/>
      <c r="B301" s="10"/>
      <c r="C301" s="10"/>
      <c r="D301" s="9"/>
      <c r="E301" s="9"/>
      <c r="F301" s="9"/>
      <c r="G301" s="9"/>
      <c r="H301" s="9"/>
      <c r="I301" s="12"/>
      <c r="J301" s="103"/>
      <c r="K301" s="9"/>
      <c r="L301" s="9"/>
      <c r="M301" s="9"/>
      <c r="N301" s="9"/>
      <c r="O301" s="9"/>
      <c r="P301" s="9"/>
      <c r="Q301" s="9"/>
      <c r="R301" s="9"/>
      <c r="S301" s="9"/>
      <c r="T301" s="9"/>
      <c r="U301" s="9"/>
      <c r="V301" s="9"/>
    </row>
    <row r="302" spans="1:22" ht="15.75" customHeight="1">
      <c r="A302" s="9"/>
      <c r="B302" s="10"/>
      <c r="C302" s="10"/>
      <c r="D302" s="9"/>
      <c r="E302" s="9"/>
      <c r="F302" s="9"/>
      <c r="G302" s="9"/>
      <c r="H302" s="9"/>
      <c r="I302" s="12"/>
      <c r="J302" s="103"/>
      <c r="K302" s="9"/>
      <c r="L302" s="9"/>
      <c r="M302" s="9"/>
      <c r="N302" s="9"/>
      <c r="O302" s="9"/>
      <c r="P302" s="9"/>
      <c r="Q302" s="9"/>
      <c r="R302" s="9"/>
      <c r="S302" s="9"/>
      <c r="T302" s="9"/>
      <c r="U302" s="9"/>
      <c r="V302" s="9"/>
    </row>
    <row r="303" spans="1:22" ht="15.75" customHeight="1"/>
    <row r="304" spans="1:22"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row r="1026" ht="15.75" customHeight="1"/>
    <row r="1027" ht="15.75" customHeight="1"/>
    <row r="1028" ht="15.75" customHeight="1"/>
    <row r="1029" ht="15.75" customHeight="1"/>
    <row r="1030" ht="15.75" customHeight="1"/>
    <row r="1031" ht="15.75" customHeight="1"/>
    <row r="1032" ht="15.75" customHeight="1"/>
    <row r="1033" ht="15.75" customHeight="1"/>
    <row r="1034" ht="15.75" customHeight="1"/>
    <row r="1035" ht="15.75" customHeight="1"/>
    <row r="1036" ht="15.75" customHeight="1"/>
    <row r="1037" ht="15.75" customHeight="1"/>
    <row r="1038" ht="15.75" customHeight="1"/>
    <row r="1039" ht="15.75" customHeight="1"/>
    <row r="1040" ht="15.75" customHeight="1"/>
    <row r="1041" ht="15.75" customHeight="1"/>
    <row r="1042" ht="15.75" customHeight="1"/>
    <row r="1043" ht="15.75" customHeight="1"/>
    <row r="1044" ht="15.75" customHeight="1"/>
    <row r="1045" ht="15.75" customHeight="1"/>
    <row r="1046" ht="15.75" customHeight="1"/>
    <row r="1047" ht="15.75" customHeight="1"/>
    <row r="1048" ht="15.75" customHeight="1"/>
    <row r="1049" ht="15.75" customHeight="1"/>
    <row r="1050" ht="15.75" customHeight="1"/>
    <row r="1051" ht="15.75" customHeight="1"/>
    <row r="1052" ht="15.75" customHeight="1"/>
    <row r="1053" ht="15.75" customHeight="1"/>
    <row r="1054" ht="15.75" customHeight="1"/>
    <row r="1055" ht="15.75" customHeight="1"/>
    <row r="1056" ht="15.75" customHeight="1"/>
    <row r="1057" ht="15.75" customHeight="1"/>
    <row r="1058" ht="15.75" customHeight="1"/>
    <row r="1059" ht="15.75" customHeight="1"/>
    <row r="1060" ht="15.75" customHeight="1"/>
    <row r="1061" ht="15.75" customHeight="1"/>
    <row r="1062" ht="15.75" customHeight="1"/>
    <row r="1063" ht="15.75" customHeight="1"/>
    <row r="1064" ht="15.75" customHeight="1"/>
    <row r="1065" ht="15.75" customHeight="1"/>
    <row r="1066" ht="15.75" customHeight="1"/>
    <row r="1067" ht="15.75" customHeight="1"/>
    <row r="1068" ht="15.75" customHeight="1"/>
    <row r="1069" ht="15.75" customHeight="1"/>
    <row r="1070" ht="15.75" customHeight="1"/>
  </sheetData>
  <mergeCells count="18">
    <mergeCell ref="A15:E15"/>
    <mergeCell ref="F15:H15"/>
    <mergeCell ref="I15:J15"/>
    <mergeCell ref="D101:G101"/>
    <mergeCell ref="A3:L3"/>
    <mergeCell ref="A5:L5"/>
    <mergeCell ref="I96:J96"/>
    <mergeCell ref="K15:K16"/>
    <mergeCell ref="L15:L16"/>
    <mergeCell ref="A4:L4"/>
    <mergeCell ref="A6:L7"/>
    <mergeCell ref="B103:C103"/>
    <mergeCell ref="E103:F103"/>
    <mergeCell ref="I103:J103"/>
    <mergeCell ref="I99:J99"/>
    <mergeCell ref="E100:F100"/>
    <mergeCell ref="I100:J100"/>
    <mergeCell ref="I101:J101"/>
  </mergeCells>
  <phoneticPr fontId="19" type="noConversion"/>
  <pageMargins left="0.23622047244094491" right="0.23622047244094491" top="0.78" bottom="0.66" header="0.31496062992125984" footer="0.31496062992125984"/>
  <pageSetup paperSize="14" scale="41" fitToHeight="0" orientation="landscape" r:id="rId1"/>
  <colBreaks count="1" manualBreakCount="1">
    <brk id="4" max="92" man="1"/>
  </col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FE66B6-F5F4-475E-8B5D-D8D5F872B9BA}">
  <sheetPr>
    <tabColor theme="4" tint="0.79998168889431442"/>
    <pageSetUpPr fitToPage="1"/>
  </sheetPr>
  <dimension ref="A2:L23"/>
  <sheetViews>
    <sheetView showGridLines="0" view="pageBreakPreview" topLeftCell="A10" zoomScale="70" zoomScaleNormal="85" zoomScaleSheetLayoutView="70" workbookViewId="0">
      <selection activeCell="E14" sqref="E14"/>
    </sheetView>
  </sheetViews>
  <sheetFormatPr defaultColWidth="9.1796875" defaultRowHeight="12.5"/>
  <cols>
    <col min="1" max="1" width="17" style="28" customWidth="1"/>
    <col min="2" max="2" width="21.1796875" style="19" customWidth="1"/>
    <col min="3" max="3" width="23.54296875" style="19" customWidth="1"/>
    <col min="4" max="4" width="114.453125" style="19" customWidth="1"/>
    <col min="5" max="7" width="33" style="19" customWidth="1"/>
    <col min="8" max="12" width="9.1796875" style="20" customWidth="1"/>
    <col min="13" max="16384" width="9.1796875" style="20"/>
  </cols>
  <sheetData>
    <row r="2" spans="1:12" ht="18">
      <c r="A2" s="137" t="s">
        <v>50</v>
      </c>
      <c r="B2" s="138"/>
      <c r="C2" s="138"/>
      <c r="D2" s="138"/>
      <c r="E2" s="138"/>
      <c r="F2" s="138"/>
      <c r="G2" s="139"/>
    </row>
    <row r="3" spans="1:12" ht="32.5" customHeight="1">
      <c r="A3" s="141" t="s">
        <v>51</v>
      </c>
      <c r="B3" s="141"/>
      <c r="C3" s="141" t="s">
        <v>52</v>
      </c>
      <c r="D3" s="141" t="s">
        <v>53</v>
      </c>
      <c r="E3" s="141" t="s">
        <v>54</v>
      </c>
      <c r="F3" s="141"/>
      <c r="G3" s="141"/>
    </row>
    <row r="4" spans="1:12" ht="17.25" customHeight="1">
      <c r="A4" s="141"/>
      <c r="B4" s="141"/>
      <c r="C4" s="141"/>
      <c r="D4" s="141"/>
      <c r="E4" s="21" t="s">
        <v>12</v>
      </c>
      <c r="F4" s="21" t="s">
        <v>55</v>
      </c>
      <c r="G4" s="21" t="s">
        <v>56</v>
      </c>
    </row>
    <row r="5" spans="1:12" s="25" customFormat="1" ht="158.25" customHeight="1">
      <c r="A5" s="22" t="s">
        <v>57</v>
      </c>
      <c r="B5" s="23" t="s">
        <v>58</v>
      </c>
      <c r="C5" s="23" t="s">
        <v>59</v>
      </c>
      <c r="D5" s="23" t="s">
        <v>60</v>
      </c>
      <c r="E5" s="24" t="s">
        <v>61</v>
      </c>
      <c r="F5" s="24" t="s">
        <v>61</v>
      </c>
      <c r="G5" s="24" t="s">
        <v>61</v>
      </c>
    </row>
    <row r="6" spans="1:12" s="25" customFormat="1" ht="126" customHeight="1">
      <c r="A6" s="22" t="s">
        <v>62</v>
      </c>
      <c r="B6" s="23" t="s">
        <v>63</v>
      </c>
      <c r="C6" s="23" t="s">
        <v>64</v>
      </c>
      <c r="D6" s="23" t="s">
        <v>65</v>
      </c>
      <c r="E6" s="24" t="s">
        <v>66</v>
      </c>
      <c r="F6" s="24" t="s">
        <v>67</v>
      </c>
      <c r="G6" s="24" t="s">
        <v>68</v>
      </c>
    </row>
    <row r="7" spans="1:12" s="25" customFormat="1" ht="71.25" customHeight="1">
      <c r="A7" s="23" t="s">
        <v>69</v>
      </c>
      <c r="B7" s="23" t="s">
        <v>70</v>
      </c>
      <c r="C7" s="23" t="s">
        <v>64</v>
      </c>
      <c r="D7" s="23" t="s">
        <v>71</v>
      </c>
      <c r="E7" s="24" t="s">
        <v>12</v>
      </c>
      <c r="F7" s="24" t="s">
        <v>72</v>
      </c>
      <c r="G7" s="24" t="s">
        <v>16</v>
      </c>
    </row>
    <row r="8" spans="1:12" ht="408.75" customHeight="1">
      <c r="A8" s="22" t="s">
        <v>73</v>
      </c>
      <c r="B8" s="23" t="s">
        <v>74</v>
      </c>
      <c r="C8" s="23" t="s">
        <v>126</v>
      </c>
      <c r="D8" s="80" t="s">
        <v>75</v>
      </c>
      <c r="E8" s="29" t="s">
        <v>76</v>
      </c>
      <c r="F8" s="30" t="s">
        <v>77</v>
      </c>
      <c r="G8" s="31" t="s">
        <v>78</v>
      </c>
    </row>
    <row r="9" spans="1:12" ht="63.4" customHeight="1">
      <c r="A9" s="22" t="s">
        <v>79</v>
      </c>
      <c r="B9" s="32" t="s">
        <v>30</v>
      </c>
      <c r="C9" s="23" t="s">
        <v>80</v>
      </c>
      <c r="D9" s="23" t="s">
        <v>81</v>
      </c>
      <c r="E9" s="24" t="s">
        <v>13</v>
      </c>
      <c r="F9" s="24" t="s">
        <v>82</v>
      </c>
      <c r="G9" s="24" t="s">
        <v>83</v>
      </c>
    </row>
    <row r="10" spans="1:12" ht="51.75" customHeight="1">
      <c r="A10" s="22" t="s">
        <v>84</v>
      </c>
      <c r="B10" s="32" t="s">
        <v>85</v>
      </c>
      <c r="C10" s="23" t="s">
        <v>86</v>
      </c>
      <c r="D10" s="23" t="s">
        <v>87</v>
      </c>
      <c r="E10" s="40" t="s">
        <v>14</v>
      </c>
      <c r="F10" s="41" t="s">
        <v>17</v>
      </c>
      <c r="G10" s="41" t="s">
        <v>15</v>
      </c>
    </row>
    <row r="11" spans="1:12" ht="66.400000000000006" customHeight="1">
      <c r="A11" s="22" t="s">
        <v>88</v>
      </c>
      <c r="B11" s="32" t="s">
        <v>31</v>
      </c>
      <c r="C11" s="23" t="s">
        <v>86</v>
      </c>
      <c r="D11" s="23" t="s">
        <v>89</v>
      </c>
      <c r="E11" s="40" t="s">
        <v>90</v>
      </c>
      <c r="F11" s="41" t="s">
        <v>17</v>
      </c>
      <c r="G11" s="24" t="s">
        <v>91</v>
      </c>
    </row>
    <row r="12" spans="1:12" ht="48" customHeight="1">
      <c r="A12" s="22" t="s">
        <v>92</v>
      </c>
      <c r="B12" s="23" t="s">
        <v>32</v>
      </c>
      <c r="C12" s="140" t="s">
        <v>86</v>
      </c>
      <c r="D12" s="23" t="s">
        <v>93</v>
      </c>
      <c r="E12" s="24" t="s">
        <v>94</v>
      </c>
      <c r="F12" s="41" t="s">
        <v>17</v>
      </c>
      <c r="G12" s="24" t="s">
        <v>91</v>
      </c>
      <c r="H12" s="26"/>
    </row>
    <row r="13" spans="1:12" ht="48" customHeight="1">
      <c r="A13" s="22" t="s">
        <v>95</v>
      </c>
      <c r="B13" s="23" t="s">
        <v>33</v>
      </c>
      <c r="C13" s="140"/>
      <c r="D13" s="23" t="s">
        <v>96</v>
      </c>
      <c r="E13" s="24" t="s">
        <v>97</v>
      </c>
      <c r="F13" s="40" t="s">
        <v>98</v>
      </c>
      <c r="G13" s="24" t="s">
        <v>99</v>
      </c>
      <c r="H13" s="26"/>
    </row>
    <row r="14" spans="1:12" ht="64.900000000000006" customHeight="1">
      <c r="A14" s="22" t="s">
        <v>100</v>
      </c>
      <c r="B14" s="23" t="s">
        <v>34</v>
      </c>
      <c r="C14" s="23" t="s">
        <v>101</v>
      </c>
      <c r="D14" s="23" t="s">
        <v>102</v>
      </c>
      <c r="E14" s="24" t="s">
        <v>103</v>
      </c>
      <c r="F14" s="24" t="s">
        <v>104</v>
      </c>
      <c r="G14" s="24" t="s">
        <v>105</v>
      </c>
      <c r="H14" s="26"/>
      <c r="I14" s="26"/>
      <c r="J14" s="26"/>
      <c r="K14" s="26"/>
      <c r="L14" s="26"/>
    </row>
    <row r="15" spans="1:12" ht="68.25" customHeight="1">
      <c r="A15" s="22" t="s">
        <v>106</v>
      </c>
      <c r="B15" s="23" t="s">
        <v>107</v>
      </c>
      <c r="C15" s="23" t="s">
        <v>108</v>
      </c>
      <c r="D15" s="27" t="s">
        <v>109</v>
      </c>
      <c r="E15" s="42" t="s">
        <v>110</v>
      </c>
      <c r="F15" s="24" t="s">
        <v>111</v>
      </c>
      <c r="G15" s="24" t="s">
        <v>112</v>
      </c>
      <c r="H15" s="26"/>
      <c r="I15" s="26"/>
      <c r="J15" s="26"/>
      <c r="K15" s="26"/>
      <c r="L15" s="26"/>
    </row>
    <row r="16" spans="1:12" ht="95.25" customHeight="1">
      <c r="A16" s="22" t="s">
        <v>113</v>
      </c>
      <c r="B16" s="23" t="s">
        <v>114</v>
      </c>
      <c r="C16" s="23" t="s">
        <v>115</v>
      </c>
      <c r="D16" s="27" t="s">
        <v>116</v>
      </c>
      <c r="E16" s="24" t="s">
        <v>117</v>
      </c>
      <c r="F16" s="24" t="s">
        <v>118</v>
      </c>
      <c r="G16" s="24" t="s">
        <v>119</v>
      </c>
      <c r="H16" s="26"/>
      <c r="I16" s="26"/>
      <c r="J16" s="26"/>
      <c r="K16" s="26"/>
      <c r="L16" s="26"/>
    </row>
    <row r="17" spans="1:12" ht="82.5" customHeight="1">
      <c r="A17" s="35" t="s">
        <v>120</v>
      </c>
      <c r="B17" s="36" t="s">
        <v>121</v>
      </c>
      <c r="C17" s="36" t="s">
        <v>101</v>
      </c>
      <c r="D17" s="36" t="s">
        <v>122</v>
      </c>
      <c r="E17" s="43" t="s">
        <v>123</v>
      </c>
      <c r="F17" s="43" t="s">
        <v>124</v>
      </c>
      <c r="G17" s="37" t="s">
        <v>61</v>
      </c>
      <c r="H17" s="26"/>
      <c r="I17" s="26"/>
      <c r="J17" s="26"/>
      <c r="K17" s="26"/>
      <c r="L17" s="26"/>
    </row>
    <row r="18" spans="1:12">
      <c r="A18" s="39"/>
      <c r="B18" s="34"/>
      <c r="C18" s="34"/>
      <c r="D18" s="34"/>
      <c r="E18" s="34"/>
      <c r="F18" s="34"/>
      <c r="G18" s="34"/>
      <c r="H18" s="26"/>
      <c r="I18" s="26"/>
      <c r="J18" s="26"/>
      <c r="K18" s="26"/>
      <c r="L18" s="26"/>
    </row>
    <row r="19" spans="1:12">
      <c r="A19" s="38"/>
      <c r="B19" s="33"/>
      <c r="C19" s="33"/>
      <c r="D19" s="33"/>
      <c r="E19" s="33"/>
      <c r="F19" s="33"/>
      <c r="G19" s="33"/>
      <c r="H19" s="26"/>
      <c r="I19" s="26"/>
      <c r="J19" s="26"/>
      <c r="K19" s="26"/>
      <c r="L19" s="26"/>
    </row>
    <row r="20" spans="1:12">
      <c r="A20" s="38"/>
      <c r="B20" s="33"/>
      <c r="C20" s="33"/>
      <c r="D20" s="33"/>
      <c r="E20" s="33"/>
      <c r="F20" s="33"/>
      <c r="G20" s="33"/>
      <c r="H20" s="26"/>
      <c r="I20" s="26"/>
      <c r="J20" s="26"/>
      <c r="K20" s="26"/>
      <c r="L20" s="26"/>
    </row>
    <row r="21" spans="1:12">
      <c r="A21" s="38"/>
      <c r="B21" s="33"/>
      <c r="C21" s="33"/>
      <c r="D21" s="33"/>
      <c r="E21" s="33"/>
      <c r="F21" s="33"/>
      <c r="G21" s="33"/>
      <c r="H21" s="26"/>
      <c r="I21" s="26"/>
      <c r="J21" s="26"/>
      <c r="K21" s="26"/>
      <c r="L21" s="26"/>
    </row>
    <row r="22" spans="1:12">
      <c r="A22" s="38"/>
      <c r="B22" s="33"/>
      <c r="C22" s="33"/>
      <c r="D22" s="33"/>
      <c r="E22" s="33"/>
      <c r="F22" s="33"/>
      <c r="G22" s="33"/>
      <c r="H22" s="26"/>
      <c r="I22" s="26"/>
      <c r="J22" s="26"/>
      <c r="K22" s="26"/>
      <c r="L22" s="26"/>
    </row>
    <row r="23" spans="1:12" ht="14">
      <c r="I23" s="44"/>
    </row>
  </sheetData>
  <mergeCells count="6">
    <mergeCell ref="A2:G2"/>
    <mergeCell ref="C12:C13"/>
    <mergeCell ref="E3:G3"/>
    <mergeCell ref="D3:D4"/>
    <mergeCell ref="C3:C4"/>
    <mergeCell ref="A3:B4"/>
  </mergeCells>
  <phoneticPr fontId="19" type="noConversion"/>
  <printOptions horizontalCentered="1"/>
  <pageMargins left="0.23622047244094491" right="0.23622047244094491" top="0.74803149606299213" bottom="0.74803149606299213" header="0.31496062992125984" footer="0.31496062992125984"/>
  <pageSetup paperSize="5" scale="58" fitToHeight="2" orientation="landscape" r:id="rId1"/>
  <rowBreaks count="1" manualBreakCount="1">
    <brk id="27" max="16383" man="1"/>
  </rowBreaks>
  <colBreaks count="1" manualBreakCount="1">
    <brk id="4"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pageSetUpPr fitToPage="1"/>
  </sheetPr>
  <dimension ref="A1:Q1"/>
  <sheetViews>
    <sheetView zoomScale="101" zoomScaleNormal="145" workbookViewId="0">
      <selection sqref="A1:Q1"/>
    </sheetView>
  </sheetViews>
  <sheetFormatPr defaultColWidth="9.1796875" defaultRowHeight="14"/>
  <cols>
    <col min="1" max="16384" width="9.1796875" style="1"/>
  </cols>
  <sheetData>
    <row r="1" spans="1:17" ht="119.5" customHeight="1">
      <c r="A1" s="142" t="s">
        <v>125</v>
      </c>
      <c r="B1" s="142"/>
      <c r="C1" s="142"/>
      <c r="D1" s="142"/>
      <c r="E1" s="142"/>
      <c r="F1" s="142"/>
      <c r="G1" s="142"/>
      <c r="H1" s="142"/>
      <c r="I1" s="142"/>
      <c r="J1" s="142"/>
      <c r="K1" s="142"/>
      <c r="L1" s="142"/>
      <c r="M1" s="142"/>
      <c r="N1" s="142"/>
      <c r="O1" s="142"/>
      <c r="P1" s="142"/>
      <c r="Q1" s="142"/>
    </row>
  </sheetData>
  <mergeCells count="1">
    <mergeCell ref="A1:Q1"/>
  </mergeCells>
  <pageMargins left="0.13" right="0.14000000000000001" top="0.47" bottom="0.32" header="0.3" footer="0.3"/>
  <pageSetup scale="76" orientation="landscape"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5ce7c07e-8caa-4af7-9998-359a438621b1">
      <Terms xmlns="http://schemas.microsoft.com/office/infopath/2007/PartnerControls"/>
    </lcf76f155ced4ddcb4097134ff3c332f>
    <TaxCatchAll xmlns="af35bd27-bdfd-4295-8ed5-2ef5059c205d"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495B6E9E7EE5E41B1BFFDF237FF97BA" ma:contentTypeVersion="18" ma:contentTypeDescription="Create a new document." ma:contentTypeScope="" ma:versionID="da76aa308b835d7ff02059e55cb7a4c3">
  <xsd:schema xmlns:xsd="http://www.w3.org/2001/XMLSchema" xmlns:xs="http://www.w3.org/2001/XMLSchema" xmlns:p="http://schemas.microsoft.com/office/2006/metadata/properties" xmlns:ns2="5ce7c07e-8caa-4af7-9998-359a438621b1" xmlns:ns3="af35bd27-bdfd-4295-8ed5-2ef5059c205d" targetNamespace="http://schemas.microsoft.com/office/2006/metadata/properties" ma:root="true" ma:fieldsID="20403ebbbeff986dd37af84abe40c542" ns2:_="" ns3:_="">
    <xsd:import namespace="5ce7c07e-8caa-4af7-9998-359a438621b1"/>
    <xsd:import namespace="af35bd27-bdfd-4295-8ed5-2ef5059c205d"/>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3:SharedWithUsers" minOccurs="0"/>
                <xsd:element ref="ns3:SharedWithDetails" minOccurs="0"/>
                <xsd:element ref="ns2:MediaLengthInSeconds" minOccurs="0"/>
                <xsd:element ref="ns2:MediaServiceAutoTags" minOccurs="0"/>
                <xsd:element ref="ns2:MediaServiceOCR" minOccurs="0"/>
                <xsd:element ref="ns2:MediaServiceGenerationTime" minOccurs="0"/>
                <xsd:element ref="ns2:MediaServiceEventHashCode" minOccurs="0"/>
                <xsd:element ref="ns2:lcf76f155ced4ddcb4097134ff3c332f" minOccurs="0"/>
                <xsd:element ref="ns3:TaxCatchAll" minOccurs="0"/>
                <xsd:element ref="ns2:MediaServiceObjectDetectorVersion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ce7c07e-8caa-4af7-9998-359a438621b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LengthInSeconds" ma:index="15" nillable="true" ma:displayName="Length (seconds)" ma:internalName="MediaLengthInSeconds" ma:readOnly="true">
      <xsd:simpleType>
        <xsd:restriction base="dms:Unknown"/>
      </xsd:simpleType>
    </xsd:element>
    <xsd:element name="MediaServiceAutoTags" ma:index="16" nillable="true" ma:displayName="Tags" ma:internalName="MediaServiceAutoTags"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a6e31b94-67c0-4bb1-9a87-2b31ccf699d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Location" ma:index="24" nillable="true" ma:displayName="Location" ma:indexed="true" ma:internalName="MediaServiceLocation"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f35bd27-bdfd-4295-8ed5-2ef5059c205d"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98f7f56c-e619-4ec2-af46-84393615c504}" ma:internalName="TaxCatchAll" ma:showField="CatchAllData" ma:web="af35bd27-bdfd-4295-8ed5-2ef5059c205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9D99F50-88C7-4690-A11E-BE792CD2261D}">
  <ds:schemaRefs>
    <ds:schemaRef ds:uri="http://purl.org/dc/elements/1.1/"/>
    <ds:schemaRef ds:uri="http://schemas.microsoft.com/office/2006/metadata/properties"/>
    <ds:schemaRef ds:uri="af35bd27-bdfd-4295-8ed5-2ef5059c205d"/>
    <ds:schemaRef ds:uri="http://schemas.microsoft.com/office/2006/documentManagement/types"/>
    <ds:schemaRef ds:uri="http://purl.org/dc/terms/"/>
    <ds:schemaRef ds:uri="http://schemas.microsoft.com/office/infopath/2007/PartnerControls"/>
    <ds:schemaRef ds:uri="http://www.w3.org/XML/1998/namespace"/>
    <ds:schemaRef ds:uri="http://schemas.openxmlformats.org/package/2006/metadata/core-properties"/>
    <ds:schemaRef ds:uri="5ce7c07e-8caa-4af7-9998-359a438621b1"/>
    <ds:schemaRef ds:uri="http://purl.org/dc/dcmitype/"/>
  </ds:schemaRefs>
</ds:datastoreItem>
</file>

<file path=customXml/itemProps2.xml><?xml version="1.0" encoding="utf-8"?>
<ds:datastoreItem xmlns:ds="http://schemas.openxmlformats.org/officeDocument/2006/customXml" ds:itemID="{303B7ECC-C2C5-42FA-B47E-2359A436E9A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ce7c07e-8caa-4af7-9998-359a438621b1"/>
    <ds:schemaRef ds:uri="af35bd27-bdfd-4295-8ed5-2ef5059c205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1088898-D1D5-463A-A685-3C6C9B9F569B}">
  <ds:schemaRefs>
    <ds:schemaRef ds:uri="http://www.w3.org/2001/XMLSchema"/>
  </ds:schemaRefs>
</ds:datastoreItem>
</file>

<file path=customXml/itemProps4.xml><?xml version="1.0" encoding="utf-8"?>
<ds:datastoreItem xmlns:ds="http://schemas.openxmlformats.org/officeDocument/2006/customXml" ds:itemID="{5BA56A61-203C-4348-AAF3-31719328809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3</vt:i4>
      </vt:variant>
    </vt:vector>
  </HeadingPairs>
  <TitlesOfParts>
    <vt:vector size="6" baseType="lpstr">
      <vt:lpstr>Indicative PPMP (2)</vt:lpstr>
      <vt:lpstr>Guide to Fill-Out</vt:lpstr>
      <vt:lpstr>Reference 4 - MYCA Form</vt:lpstr>
      <vt:lpstr>'Guide to Fill-Out'!Print_Area</vt:lpstr>
      <vt:lpstr>'Indicative PPMP (2)'!Print_Area</vt:lpstr>
      <vt:lpstr>'Indicative PPMP (2)'!Print_Titles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JGOgardo</dc:creator>
  <cp:keywords/>
  <dc:description/>
  <cp:lastModifiedBy>ESTHER CELESTINO</cp:lastModifiedBy>
  <cp:revision/>
  <cp:lastPrinted>2026-01-16T01:30:52Z</cp:lastPrinted>
  <dcterms:created xsi:type="dcterms:W3CDTF">2020-09-29T03:01:12Z</dcterms:created>
  <dcterms:modified xsi:type="dcterms:W3CDTF">2026-03-11T03:04:04Z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0x0101007495B6E9E7EE5E41B1BFFDF237FF97BA</vt:lpwstr>
  </property>
  <property fmtid="{D5CDD505-2E9C-101B-9397-08002B2CF9AE}" pid="3" name="MediaServiceImageTags">
    <vt:lpwstr/>
  </property>
  <property fmtid="{D5CDD505-2E9C-101B-9397-08002B2CF9AE}" pid="4" name="PlanSwiftJobName">
    <vt:lpwstr/>
  </property>
  <property fmtid="{D5CDD505-2E9C-101B-9397-08002B2CF9AE}" pid="5" name="PlanSwiftJobGuid">
    <vt:lpwstr/>
  </property>
  <property fmtid="{D5CDD505-2E9C-101B-9397-08002B2CF9AE}" pid="6" name="LinkedDataId">
    <vt:lpwstr>{C1088898-D1D5-463A-A685-3C6C9B9F569B}</vt:lpwstr>
  </property>
</Properties>
</file>