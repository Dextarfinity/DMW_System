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O25\Downloads\"/>
    </mc:Choice>
  </mc:AlternateContent>
  <xr:revisionPtr revIDLastSave="0" documentId="13_ncr:1_{FA80C05E-E92B-4485-B5DF-D81208DBC54C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Security Guard" sheetId="1" r:id="rId1"/>
    <sheet name="Tarp printing" sheetId="2" r:id="rId2"/>
    <sheet name="purified drinking water" sheetId="3" r:id="rId3"/>
    <sheet name="janitorial service" sheetId="4" r:id="rId4"/>
    <sheet name="POL" sheetId="5" r:id="rId5"/>
    <sheet name="Sheet1" sheetId="8" r:id="rId6"/>
    <sheet name="courier" sheetId="6" r:id="rId7"/>
    <sheet name="monoblock chair" sheetId="7" r:id="rId8"/>
    <sheet name="Sheet2" sheetId="9" r:id="rId9"/>
    <sheet name="Sheet3" sheetId="10" r:id="rId10"/>
    <sheet name="mic and ref" sheetId="12" r:id="rId11"/>
    <sheet name="drum toner" sheetId="11" r:id="rId12"/>
    <sheet name="supplies" sheetId="13" r:id="rId13"/>
  </sheets>
  <definedNames>
    <definedName name="_xlnm.Print_Area" localSheetId="10">'mic and ref'!$A$1:$G$51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3" l="1"/>
  <c r="N11" i="13"/>
  <c r="N10" i="13"/>
  <c r="N9" i="13"/>
  <c r="N8" i="13"/>
  <c r="N7" i="13"/>
  <c r="N6" i="13"/>
  <c r="G23" i="13"/>
  <c r="G15" i="13"/>
  <c r="G31" i="13" s="1"/>
  <c r="G35" i="12"/>
  <c r="G26" i="12"/>
  <c r="G15" i="12"/>
  <c r="G44" i="12" l="1"/>
  <c r="Q29" i="9"/>
  <c r="M32" i="9"/>
  <c r="G41" i="9"/>
  <c r="G37" i="9"/>
  <c r="G23" i="11" l="1"/>
  <c r="G15" i="11"/>
  <c r="G23" i="10"/>
  <c r="G15" i="10"/>
  <c r="G32" i="9"/>
  <c r="G27" i="9"/>
  <c r="G22" i="9"/>
  <c r="G15" i="9"/>
  <c r="G46" i="8"/>
  <c r="G35" i="8"/>
  <c r="G26" i="8"/>
  <c r="G15" i="8"/>
  <c r="G56" i="8" s="1"/>
  <c r="G31" i="11" l="1"/>
  <c r="G31" i="10"/>
  <c r="G44" i="9"/>
  <c r="G15" i="7"/>
  <c r="G30" i="7" s="1"/>
  <c r="G32" i="6"/>
  <c r="G31" i="6"/>
  <c r="G30" i="6"/>
  <c r="G29" i="6"/>
  <c r="G23" i="6"/>
  <c r="G22" i="6"/>
  <c r="G21" i="6"/>
  <c r="G20" i="6"/>
  <c r="G19" i="6"/>
  <c r="G15" i="5"/>
  <c r="G35" i="6" l="1"/>
  <c r="G30" i="5"/>
  <c r="F15" i="4"/>
  <c r="G30" i="4"/>
  <c r="G15" i="3"/>
  <c r="G30" i="3" s="1"/>
  <c r="G15" i="2"/>
  <c r="G30" i="2" s="1"/>
  <c r="G15" i="1" l="1"/>
  <c r="G30" i="1" s="1"/>
</calcChain>
</file>

<file path=xl/sharedStrings.xml><?xml version="1.0" encoding="utf-8"?>
<sst xmlns="http://schemas.openxmlformats.org/spreadsheetml/2006/main" count="513" uniqueCount="196">
  <si>
    <t>PURCHASE REQUEST</t>
  </si>
  <si>
    <t>Office/Section:</t>
  </si>
  <si>
    <t>DMW Caraga</t>
  </si>
  <si>
    <t>Date :</t>
  </si>
  <si>
    <t xml:space="preserve">      Responsibility Center Code:____________________</t>
  </si>
  <si>
    <t>Item No.</t>
  </si>
  <si>
    <t>Unit</t>
  </si>
  <si>
    <t>Item Description</t>
  </si>
  <si>
    <t>Quantity</t>
  </si>
  <si>
    <t>Unit Cost</t>
  </si>
  <si>
    <t>Total Cost</t>
  </si>
  <si>
    <t>TOTAL AMOUNT</t>
  </si>
  <si>
    <t>Requested by:</t>
  </si>
  <si>
    <t>Approved by:</t>
  </si>
  <si>
    <t>Printed Name</t>
  </si>
  <si>
    <t>REGIENALD S. ESPALDON</t>
  </si>
  <si>
    <t>RITCHEL M. BUTAO</t>
  </si>
  <si>
    <t>Designation</t>
  </si>
  <si>
    <t xml:space="preserve">      PR No.:  </t>
  </si>
  <si>
    <t>Lot</t>
  </si>
  <si>
    <t>Security Guard (4 pax)</t>
  </si>
  <si>
    <t>Duration: 11.5 months</t>
  </si>
  <si>
    <t>Purpose:  Hiring of security guards to maintain a secure environment for DMW RO XIII personnel and clients.</t>
  </si>
  <si>
    <t>Regional Director</t>
  </si>
  <si>
    <t>Sq.ft</t>
  </si>
  <si>
    <t>Tarpaulin Printing</t>
  </si>
  <si>
    <t>Duration: 1 year</t>
  </si>
  <si>
    <t>Billing: Bi-weekly, actual billing</t>
  </si>
  <si>
    <t>Purpose:  Tarpaulin printing for all the activities of DMW Caraga for CY 2026</t>
  </si>
  <si>
    <t>Gal</t>
  </si>
  <si>
    <t>Purified Drinking Water</t>
  </si>
  <si>
    <t>Billing: Monthly, actual billing</t>
  </si>
  <si>
    <t>Purpose:  Supply and delivery of purified drinking water for CY 2026</t>
  </si>
  <si>
    <t>Pax</t>
  </si>
  <si>
    <t>Janitorial Services</t>
  </si>
  <si>
    <t>OIC - ARD / CAO</t>
  </si>
  <si>
    <t>Purpose:  Hiring of janitorial services to maintain cleanliness of DMW Caraga CY 2026</t>
  </si>
  <si>
    <t>Gas</t>
  </si>
  <si>
    <t>Note:</t>
  </si>
  <si>
    <t>1. Open on Holidays, Saturdays, and Sundays</t>
  </si>
  <si>
    <t>2. Office hours open at least 5:00 AM to 9:00 PM</t>
  </si>
  <si>
    <t>3. Flood Free Areas</t>
  </si>
  <si>
    <t>4. Contract location within the area</t>
  </si>
  <si>
    <t>5. Monthly Billing</t>
  </si>
  <si>
    <t>6. Must be PhilGeps Registered</t>
  </si>
  <si>
    <t>Ltrs</t>
  </si>
  <si>
    <t xml:space="preserve">Purpose:  Supply and delivery of Petroleum Oil (Gas) for CY 2026 (PUMP PRICE) </t>
  </si>
  <si>
    <t>From: Metro Manila/Luzon/Visayas/Mindanao</t>
  </si>
  <si>
    <t>To: Metro Manila/Luzon/Visayas/Mindanao</t>
  </si>
  <si>
    <t>Letters / Pouches</t>
  </si>
  <si>
    <t>Letter Gram (Max weight: 250g)</t>
  </si>
  <si>
    <t>Small (Max weight: 500g)</t>
  </si>
  <si>
    <t>Medium (Max weight: 1kg)</t>
  </si>
  <si>
    <t>Large (Max weight: 1.5kg)</t>
  </si>
  <si>
    <t>Pouch (Max weight: 2kg)</t>
  </si>
  <si>
    <t>Letters / Pouches (Containing with commercial value)</t>
  </si>
  <si>
    <t>Purpose:  Courier services for DMW Caraga 2026</t>
  </si>
  <si>
    <r>
      <t xml:space="preserve">      PR No.:  </t>
    </r>
    <r>
      <rPr>
        <b/>
        <sz val="12"/>
        <rFont val="Arial Narrow"/>
        <family val="2"/>
      </rPr>
      <t>2026-01-0009</t>
    </r>
  </si>
  <si>
    <t>Jan. 6, 2026</t>
  </si>
  <si>
    <t>Billing: Actual, monthly</t>
  </si>
  <si>
    <t>Pcs</t>
  </si>
  <si>
    <t>Monoblock Chairs</t>
  </si>
  <si>
    <r>
      <t xml:space="preserve">      PR No.:  </t>
    </r>
    <r>
      <rPr>
        <b/>
        <sz val="12"/>
        <rFont val="Arial Narrow"/>
        <family val="2"/>
      </rPr>
      <t>2026-01-0011</t>
    </r>
  </si>
  <si>
    <t>Jan. 15, 2026</t>
  </si>
  <si>
    <t>Purpose:  Procurement of monoblock chairs for DMW Caraga</t>
  </si>
  <si>
    <t>Specs:</t>
  </si>
  <si>
    <t>•Color: Beige</t>
  </si>
  <si>
    <t>•No arm rest</t>
  </si>
  <si>
    <t>•Plastic</t>
  </si>
  <si>
    <t>Refrigerator</t>
  </si>
  <si>
    <t>9.5 cu. Ft.</t>
  </si>
  <si>
    <t>2 door, top freezer</t>
  </si>
  <si>
    <t>Frost Free Cooling System</t>
  </si>
  <si>
    <t>Fresh Safe for Vegetable CaseHighest</t>
  </si>
  <si>
    <t>Full Flat Door Panel Image</t>
  </si>
  <si>
    <t>Fully Automatic Defrost System</t>
  </si>
  <si>
    <t>Tempered Shelves</t>
  </si>
  <si>
    <t>Inverter Motor</t>
  </si>
  <si>
    <t>Warranties</t>
  </si>
  <si>
    <t>3.5 cu. Ft.</t>
  </si>
  <si>
    <t>Type: Two Door Direct Cool Ref</t>
  </si>
  <si>
    <t>Capacity, Freezer: 25L</t>
  </si>
  <si>
    <t>Capacity, Fresh Food: 71L</t>
  </si>
  <si>
    <t>Temperature Control: Mechanical Control Knob</t>
  </si>
  <si>
    <t>Defrost System: Manual</t>
  </si>
  <si>
    <t>Dual Wireless Microphone</t>
  </si>
  <si>
    <t>must come with receiver</t>
  </si>
  <si>
    <t>Balanced outputs:+10dB(XLR)</t>
  </si>
  <si>
    <t>Unbalanced outputs:+4dB(1/4” 6.3mm jack socket)</t>
  </si>
  <si>
    <t>Adjacent channel interference ratio: 80dB</t>
  </si>
  <si>
    <t>Image interference Ratio:80dB</t>
  </si>
  <si>
    <t>RF Outputs:8mW ~ 30mW</t>
  </si>
  <si>
    <t>Harmonic suppression:&gt;50dB</t>
  </si>
  <si>
    <t>With Free Two (4) XLR Wire, male to female (2m each)</t>
  </si>
  <si>
    <t>Paper Shredder</t>
  </si>
  <si>
    <t>Shreds 16 sheets per pass into 4 x 38mm cross-cut particles (Security Level P-4)</t>
  </si>
  <si>
    <t>100% Jam Proof System eliminate paper jams and powers through tough jobs</t>
  </si>
  <si>
    <t>Auto Start/Stop: Yes - Electronic</t>
  </si>
  <si>
    <t>Bin Capacity (gallons): 6</t>
  </si>
  <si>
    <t>Run Time (minutes): Up to 20</t>
  </si>
  <si>
    <t>Sheet Capacity: 16</t>
  </si>
  <si>
    <t>Shreds Per Sheet: 397</t>
  </si>
  <si>
    <t>Purpose:  To support office operations by providing proper storage for supplies and refreshments (refrigerators), improving audio setup for meetings and activities (dual wireless microphone), and ensuring secure disposal of documents (paper shredder).</t>
  </si>
  <si>
    <t>Chief Administrative Officer</t>
  </si>
  <si>
    <t>OIC, Regional Director</t>
  </si>
  <si>
    <t>Stackable Chair</t>
  </si>
  <si>
    <t>•Modern Design</t>
  </si>
  <si>
    <t>•Meeting Chair</t>
  </si>
  <si>
    <t>•Leather ergonomic</t>
  </si>
  <si>
    <t>•Color: Black</t>
  </si>
  <si>
    <t>•Metal base</t>
  </si>
  <si>
    <t>•3 sliding cabinets</t>
  </si>
  <si>
    <t>•Metal Type</t>
  </si>
  <si>
    <t>Pedestal Cabinet with keys</t>
  </si>
  <si>
    <t>•Color: White or beige</t>
  </si>
  <si>
    <t>Steel Cabinet</t>
  </si>
  <si>
    <t>•Metal</t>
  </si>
  <si>
    <t>•With lock</t>
  </si>
  <si>
    <t>Metal Rack</t>
  </si>
  <si>
    <t>•4 ~ 5 racks</t>
  </si>
  <si>
    <t>•With installation</t>
  </si>
  <si>
    <t>Set</t>
  </si>
  <si>
    <t>Wall Mount Bracket</t>
  </si>
  <si>
    <t>•Suitable for 55" tv</t>
  </si>
  <si>
    <t>•free screws, tux, etc.</t>
  </si>
  <si>
    <t>•rust proof</t>
  </si>
  <si>
    <t>TV Stand</t>
  </si>
  <si>
    <t>•Movable</t>
  </si>
  <si>
    <t>•VESA compliant</t>
  </si>
  <si>
    <t>Drum Toner</t>
  </si>
  <si>
    <t>•Compatible with Fuji Apeos 4620SX</t>
  </si>
  <si>
    <t>Purpose:  Procurement of drum toner for DMW photocopiers</t>
  </si>
  <si>
    <t>Office Table</t>
  </si>
  <si>
    <t>Gray</t>
  </si>
  <si>
    <t>Steel type</t>
  </si>
  <si>
    <t>3 or more drawer</t>
  </si>
  <si>
    <t>Office Chairs</t>
  </si>
  <si>
    <t>Mesh</t>
  </si>
  <si>
    <t>Black</t>
  </si>
  <si>
    <t>Stackable chair</t>
  </si>
  <si>
    <t>Eval</t>
  </si>
  <si>
    <t>Client</t>
  </si>
  <si>
    <t>jomar</t>
  </si>
  <si>
    <t>eddie</t>
  </si>
  <si>
    <t>asec</t>
  </si>
  <si>
    <t>jun</t>
  </si>
  <si>
    <t>ian</t>
  </si>
  <si>
    <t>ajean</t>
  </si>
  <si>
    <t>candy</t>
  </si>
  <si>
    <t>daryl</t>
  </si>
  <si>
    <t>marisa</t>
  </si>
  <si>
    <t>cheryl</t>
  </si>
  <si>
    <t>apple</t>
  </si>
  <si>
    <t>chris</t>
  </si>
  <si>
    <t>angelo</t>
  </si>
  <si>
    <t>al</t>
  </si>
  <si>
    <t>client</t>
  </si>
  <si>
    <t>•L:100cm, H: 180cm, W: 30cm (size should be exact or higher)</t>
  </si>
  <si>
    <t>Pedestal</t>
  </si>
  <si>
    <t>RD</t>
  </si>
  <si>
    <t>Ed</t>
  </si>
  <si>
    <t>Asec</t>
  </si>
  <si>
    <t>Jun</t>
  </si>
  <si>
    <t>Ian</t>
  </si>
  <si>
    <t>Ajean</t>
  </si>
  <si>
    <t>Candy</t>
  </si>
  <si>
    <t>Cheryl</t>
  </si>
  <si>
    <t>Apple</t>
  </si>
  <si>
    <t>Chris</t>
  </si>
  <si>
    <t>Al</t>
  </si>
  <si>
    <t>Angelo</t>
  </si>
  <si>
    <t>Bela</t>
  </si>
  <si>
    <t>ARD</t>
  </si>
  <si>
    <t xml:space="preserve">Purpose:  </t>
  </si>
  <si>
    <t>•3 or more drawers (sliding)</t>
  </si>
  <si>
    <t>Purpose:  To support office operations by providing proper storage for supplies and refreshments (refrigerators), improving audio setup for meetings and activities (dual wireless microphone).</t>
  </si>
  <si>
    <t>Wireless Microphone</t>
  </si>
  <si>
    <t>4 microphones</t>
  </si>
  <si>
    <t>Frequency Response: 80Hz~15KHz (+3dB)</t>
  </si>
  <si>
    <t>Harmonic Interference Ratio: -50dB</t>
  </si>
  <si>
    <t>https://shopee.ph/AD-ACT-9460-4-Professional-Wireless-Microphone-System-UHF-650MHz-200CH-AD-i.456285788.12599063720?extraParams=%7B%22display_model_id%22%3A167795955264%2C%22model_selection_logic%22%3A3%7D&amp;sp_atk=298f1580-e47a-435e-80fc-d533d913989b&amp;xptdk=298f1580-e47a-435e-80fc-d533d913989b</t>
  </si>
  <si>
    <t>Cartridge: Dynamic</t>
  </si>
  <si>
    <r>
      <t xml:space="preserve">      PR No.:  </t>
    </r>
    <r>
      <rPr>
        <b/>
        <sz val="12"/>
        <rFont val="Arial Narrow"/>
        <family val="2"/>
      </rPr>
      <t>2026-01-0015</t>
    </r>
  </si>
  <si>
    <t>Jan. 26, 2026</t>
  </si>
  <si>
    <t>Glass Cleaner - 4L/Gal</t>
  </si>
  <si>
    <t>Glass Wiper</t>
  </si>
  <si>
    <t>Bleach - 4L/Gal</t>
  </si>
  <si>
    <t xml:space="preserve">Air Freshener - </t>
  </si>
  <si>
    <t>Cleanser Powder - 1 kl</t>
  </si>
  <si>
    <t>Pouch</t>
  </si>
  <si>
    <t>Can</t>
  </si>
  <si>
    <t>Toilet Deodorizer - Large</t>
  </si>
  <si>
    <t>Toilet Gloves</t>
  </si>
  <si>
    <t>Total Vat</t>
  </si>
  <si>
    <t>Net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</si>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</sst>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_);_(* \(#,##0.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color theme="1"/>
      <name val="Arial Narrow"/>
      <family val="2"/>
    </font>
    <font>
      <u/>
      <sz val="12"/>
      <name val="Arial Narrow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Arial Narrow"/>
      <family val="2"/>
    </font>
    <font>
      <b/>
      <sz val="12"/>
      <color theme="1"/>
      <name val="Arial Narrow"/>
      <family val="2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14" xfId="0" quotePrefix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64" fontId="10" fillId="0" borderId="15" xfId="1" applyFont="1" applyFill="1" applyBorder="1" applyAlignment="1">
      <alignment horizontal="right" vertical="center"/>
    </xf>
    <xf numFmtId="164" fontId="9" fillId="0" borderId="16" xfId="0" applyNumberFormat="1" applyFont="1" applyBorder="1" applyAlignment="1">
      <alignment horizontal="center" vertical="center"/>
    </xf>
    <xf numFmtId="49" fontId="0" fillId="0" borderId="0" xfId="0" applyNumberFormat="1"/>
    <xf numFmtId="49" fontId="10" fillId="0" borderId="14" xfId="0" applyNumberFormat="1" applyFont="1" applyBorder="1" applyAlignment="1">
      <alignment horizontal="left"/>
    </xf>
    <xf numFmtId="0" fontId="10" fillId="0" borderId="0" xfId="0" applyFont="1"/>
    <xf numFmtId="0" fontId="9" fillId="0" borderId="16" xfId="0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left" wrapText="1"/>
    </xf>
    <xf numFmtId="164" fontId="9" fillId="0" borderId="14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164" fontId="4" fillId="0" borderId="17" xfId="1" applyFont="1" applyFill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10" fillId="0" borderId="15" xfId="0" applyFont="1" applyBorder="1" applyAlignment="1">
      <alignment horizontal="left"/>
    </xf>
    <xf numFmtId="49" fontId="10" fillId="0" borderId="15" xfId="0" applyNumberFormat="1" applyFont="1" applyBorder="1" applyAlignment="1">
      <alignment horizontal="left"/>
    </xf>
    <xf numFmtId="49" fontId="9" fillId="0" borderId="15" xfId="0" applyNumberFormat="1" applyFont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9" fillId="0" borderId="21" xfId="0" applyFont="1" applyBorder="1" applyAlignment="1">
      <alignment horizontal="center" vertical="center"/>
    </xf>
    <xf numFmtId="164" fontId="10" fillId="0" borderId="22" xfId="1" applyFont="1" applyFill="1" applyBorder="1" applyAlignment="1">
      <alignment horizontal="right" vertical="center"/>
    </xf>
    <xf numFmtId="49" fontId="13" fillId="0" borderId="14" xfId="0" applyNumberFormat="1" applyFont="1" applyBorder="1" applyAlignment="1">
      <alignment horizontal="left"/>
    </xf>
    <xf numFmtId="164" fontId="10" fillId="0" borderId="23" xfId="1" applyFont="1" applyFill="1" applyBorder="1" applyAlignment="1">
      <alignment horizontal="right" vertical="center"/>
    </xf>
    <xf numFmtId="0" fontId="3" fillId="0" borderId="24" xfId="0" applyFont="1" applyBorder="1" applyAlignment="1">
      <alignment horizontal="center" vertical="center"/>
    </xf>
    <xf numFmtId="164" fontId="4" fillId="0" borderId="5" xfId="1" applyFont="1" applyFill="1" applyBorder="1" applyAlignment="1">
      <alignment vertical="center"/>
    </xf>
    <xf numFmtId="49" fontId="13" fillId="0" borderId="14" xfId="0" applyNumberFormat="1" applyFont="1" applyBorder="1" applyAlignment="1">
      <alignment horizontal="left" wrapText="1"/>
    </xf>
    <xf numFmtId="49" fontId="13" fillId="0" borderId="15" xfId="0" applyNumberFormat="1" applyFont="1" applyBorder="1" applyAlignment="1">
      <alignment horizontal="left"/>
    </xf>
    <xf numFmtId="164" fontId="4" fillId="0" borderId="25" xfId="1" applyFont="1" applyFill="1" applyBorder="1" applyAlignment="1">
      <alignment vertical="center"/>
    </xf>
    <xf numFmtId="49" fontId="14" fillId="0" borderId="0" xfId="2" applyNumberFormat="1"/>
    <xf numFmtId="165" fontId="0" fillId="0" borderId="0" xfId="1" applyNumberFormat="1" applyFont="1"/>
    <xf numFmtId="9" fontId="0" fillId="0" borderId="0" xfId="0" applyNumberFormat="1"/>
    <xf numFmtId="164" fontId="0" fillId="0" borderId="0" xfId="0" applyNumberFormat="1"/>
    <xf numFmtId="0" fontId="12" fillId="0" borderId="0" xfId="0" applyFont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754380</xdr:colOff>
      <xdr:row>0</xdr:row>
      <xdr:rowOff>0</xdr:rowOff>
    </xdr:from>
    <xdr:to>
      <xdr:col>6</xdr:col>
      <xdr:colOff>231140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E28AD6-B568-4F33-B461-40906FDE8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" y="0"/>
          <a:ext cx="7774940" cy="14630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754380</xdr:colOff>
      <xdr:row>0</xdr:row>
      <xdr:rowOff>0</xdr:rowOff>
    </xdr:from>
    <xdr:to>
      <xdr:col>6</xdr:col>
      <xdr:colOff>231140</xdr:colOff>
      <xdr:row>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53297-3ED6-4B8A-B796-F93D316CE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" y="0"/>
          <a:ext cx="7774940" cy="12344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754380</xdr:colOff>
      <xdr:row>0</xdr:row>
      <xdr:rowOff>0</xdr:rowOff>
    </xdr:from>
    <xdr:to>
      <xdr:col>6</xdr:col>
      <xdr:colOff>231140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CC0AF2-5DEC-4A37-A36F-3FD9CD638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" y="0"/>
          <a:ext cx="7774940" cy="12344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754380</xdr:colOff>
      <xdr:row>0</xdr:row>
      <xdr:rowOff>0</xdr:rowOff>
    </xdr:from>
    <xdr:to>
      <xdr:col>6</xdr:col>
      <xdr:colOff>231140</xdr:colOff>
      <xdr:row>7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91DD26-CB1F-495A-8F7D-8948E841E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" y="0"/>
          <a:ext cx="7774940" cy="1295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754380</xdr:colOff>
      <xdr:row>0</xdr:row>
      <xdr:rowOff>0</xdr:rowOff>
    </xdr:from>
    <xdr:to>
      <xdr:col>6</xdr:col>
      <xdr:colOff>231140</xdr:colOff>
      <xdr:row>7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B5373E-5356-40AA-B489-9E6F4F224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" y="0"/>
          <a:ext cx="7774940" cy="13792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754380</xdr:colOff>
      <xdr:row>0</xdr:row>
      <xdr:rowOff>0</xdr:rowOff>
    </xdr:from>
    <xdr:to>
      <xdr:col>6</xdr:col>
      <xdr:colOff>78740</xdr:colOff>
      <xdr:row>7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DAC1A6-6E67-48C8-8159-42D00B0BB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" y="0"/>
          <a:ext cx="7774940" cy="1295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754380</xdr:colOff>
      <xdr:row>0</xdr:row>
      <xdr:rowOff>0</xdr:rowOff>
    </xdr:from>
    <xdr:to>
      <xdr:col>6</xdr:col>
      <xdr:colOff>231140</xdr:colOff>
      <xdr:row>6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521B8D-DAD4-46E9-BEEA-BC0407019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" y="0"/>
          <a:ext cx="7774940" cy="13258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0</xdr:rowOff>
    </xdr:from>
    <xdr:to>
      <xdr:col>6</xdr:col>
      <xdr:colOff>276860</xdr:colOff>
      <xdr:row>6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007474-6998-4219-BC3D-ED4F432DF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0"/>
          <a:ext cx="7774940" cy="1333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0</xdr:rowOff>
    </xdr:from>
    <xdr:to>
      <xdr:col>6</xdr:col>
      <xdr:colOff>276860</xdr:colOff>
      <xdr:row>7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8953AC-7FFA-42C7-A26F-621D0B1C4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0"/>
          <a:ext cx="7774940" cy="13335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0</xdr:rowOff>
    </xdr:from>
    <xdr:to>
      <xdr:col>6</xdr:col>
      <xdr:colOff>276860</xdr:colOff>
      <xdr:row>7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808DDA-8717-49AA-A476-4280B6664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0"/>
          <a:ext cx="7774940" cy="14097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754380</xdr:colOff>
      <xdr:row>0</xdr:row>
      <xdr:rowOff>0</xdr:rowOff>
    </xdr:from>
    <xdr:to>
      <xdr:col>6</xdr:col>
      <xdr:colOff>353060</xdr:colOff>
      <xdr:row>7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DB8A26-9AE8-4A8F-A325-C21C60168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" y="0"/>
          <a:ext cx="7774940" cy="1295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0</xdr:rowOff>
    </xdr:from>
    <xdr:to>
      <xdr:col>6</xdr:col>
      <xdr:colOff>276860</xdr:colOff>
      <xdr:row>8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7A5334-A0A1-434E-B685-F65337372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0"/>
          <a:ext cx="7774940" cy="14859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0</xdr:rowOff>
    </xdr:from>
    <xdr:to>
      <xdr:col>6</xdr:col>
      <xdr:colOff>276860</xdr:colOff>
      <xdr:row>8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6CFDB0-837E-4FE1-AA7D-25A285DE9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0"/>
          <a:ext cx="7774940" cy="156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shopee.ph/AD-ACT-9460-4-Professional-Wireless-Microphone-System-UHF-650MHz-200CH-AD-i.456285788.12599063720?extraParams=%7B%22display_model_id%22%3A167795955264%2C%22model_selection_logic%22%3A3%7D&amp;sp_atk=298f1580-e47a-435e-80fc-d533d913989b&amp;xptdk=298f1580-e47a-435e-80fc-d533d913989b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7"/>
  <sheetViews>
    <sheetView topLeftCell="A14" zoomScaleNormal="100" workbookViewId="0">
      <selection activeCell="B31" sqref="B31:G32"/>
    </sheetView>
  </sheetViews>
  <sheetFormatPr defaultRowHeight="15" x14ac:dyDescent="0.25"/>
  <cols>
    <col min="1" max="1" width="1.140625" customWidth="1"/>
    <col min="2" max="2" width="13.28515625" customWidth="1"/>
    <col min="3" max="3" width="11.85546875" customWidth="1"/>
    <col min="4" max="4" width="69.5703125" customWidth="1"/>
    <col min="5" max="5" width="11.85546875" customWidth="1"/>
    <col min="6" max="6" width="14.28515625" bestFit="1" customWidth="1"/>
    <col min="7" max="7" width="17.5703125" customWidth="1"/>
  </cols>
  <sheetData>
    <row r="1" spans="2:10" x14ac:dyDescent="0.25">
      <c r="B1" s="64"/>
      <c r="C1" s="65"/>
      <c r="D1" s="65"/>
      <c r="E1" s="1"/>
      <c r="F1" s="1"/>
      <c r="G1" s="2"/>
    </row>
    <row r="2" spans="2:10" x14ac:dyDescent="0.25">
      <c r="B2" s="66"/>
      <c r="C2" s="67"/>
      <c r="D2" s="67"/>
      <c r="E2" s="3"/>
      <c r="F2" s="3"/>
      <c r="G2" s="4"/>
    </row>
    <row r="3" spans="2:10" ht="15.75" x14ac:dyDescent="0.25">
      <c r="B3" s="5"/>
      <c r="C3" s="6"/>
      <c r="D3" s="6"/>
      <c r="E3" s="7"/>
      <c r="F3" s="7"/>
      <c r="G3" s="8"/>
    </row>
    <row r="4" spans="2:10" ht="15.75" x14ac:dyDescent="0.25">
      <c r="B4" s="5"/>
      <c r="C4" s="6"/>
      <c r="D4" s="6"/>
      <c r="E4" s="7"/>
      <c r="F4" s="7"/>
      <c r="G4" s="8"/>
    </row>
    <row r="5" spans="2:10" ht="15.75" x14ac:dyDescent="0.25">
      <c r="B5" s="5"/>
      <c r="C5" s="6"/>
      <c r="D5" s="6"/>
      <c r="E5" s="7"/>
      <c r="F5" s="7"/>
      <c r="G5" s="8"/>
    </row>
    <row r="6" spans="2:10" ht="15.75" x14ac:dyDescent="0.25">
      <c r="B6" s="5"/>
      <c r="C6" s="6"/>
      <c r="D6" s="6"/>
      <c r="E6" s="7"/>
      <c r="F6" s="7"/>
      <c r="G6" s="8"/>
    </row>
    <row r="7" spans="2:10" ht="16.5" thickBot="1" x14ac:dyDescent="0.3">
      <c r="B7" s="5"/>
      <c r="C7" s="6"/>
      <c r="D7" s="6"/>
      <c r="E7" s="7"/>
      <c r="F7" s="7"/>
      <c r="G7" s="8"/>
    </row>
    <row r="8" spans="2:10" x14ac:dyDescent="0.25">
      <c r="B8" s="82" t="s">
        <v>0</v>
      </c>
      <c r="C8" s="83"/>
      <c r="D8" s="83"/>
      <c r="E8" s="83"/>
      <c r="F8" s="83"/>
      <c r="G8" s="84"/>
    </row>
    <row r="9" spans="2:10" ht="15.75" thickBot="1" x14ac:dyDescent="0.3">
      <c r="B9" s="71"/>
      <c r="C9" s="72"/>
      <c r="D9" s="72"/>
      <c r="E9" s="72"/>
      <c r="F9" s="72"/>
      <c r="G9" s="73"/>
    </row>
    <row r="10" spans="2:10" ht="15.75" x14ac:dyDescent="0.25">
      <c r="B10" s="9"/>
      <c r="C10" s="10"/>
      <c r="D10" s="10"/>
      <c r="E10" s="10"/>
      <c r="F10" s="10"/>
      <c r="G10" s="11"/>
    </row>
    <row r="11" spans="2:10" ht="15.75" x14ac:dyDescent="0.25">
      <c r="B11" s="12" t="s">
        <v>1</v>
      </c>
      <c r="C11" s="13" t="s">
        <v>2</v>
      </c>
      <c r="D11" s="7" t="s">
        <v>18</v>
      </c>
      <c r="E11" s="7"/>
      <c r="F11" s="7" t="s">
        <v>3</v>
      </c>
      <c r="G11" s="14"/>
    </row>
    <row r="12" spans="2:10" ht="16.5" thickBot="1" x14ac:dyDescent="0.3">
      <c r="B12" s="15"/>
      <c r="C12" s="16"/>
      <c r="D12" s="16" t="s">
        <v>4</v>
      </c>
      <c r="E12" s="16"/>
      <c r="F12" s="16"/>
      <c r="G12" s="17"/>
    </row>
    <row r="13" spans="2:10" ht="16.5" thickBot="1" x14ac:dyDescent="0.3">
      <c r="B13" s="18"/>
      <c r="C13" s="19"/>
      <c r="D13" s="19"/>
      <c r="E13" s="19"/>
      <c r="F13" s="19"/>
      <c r="G13" s="20"/>
    </row>
    <row r="14" spans="2:10" ht="16.5" thickBot="1" x14ac:dyDescent="0.3">
      <c r="B14" s="21" t="s">
        <v>5</v>
      </c>
      <c r="C14" s="22" t="s">
        <v>6</v>
      </c>
      <c r="D14" s="23" t="s">
        <v>7</v>
      </c>
      <c r="E14" s="22" t="s">
        <v>8</v>
      </c>
      <c r="F14" s="24" t="s">
        <v>9</v>
      </c>
      <c r="G14" s="25" t="s">
        <v>10</v>
      </c>
    </row>
    <row r="15" spans="2:10" ht="15.75" x14ac:dyDescent="0.25">
      <c r="B15" s="26">
        <v>1</v>
      </c>
      <c r="C15" s="27" t="s">
        <v>19</v>
      </c>
      <c r="D15" s="31" t="s">
        <v>20</v>
      </c>
      <c r="E15" s="27">
        <v>1</v>
      </c>
      <c r="F15" s="28">
        <v>1066000</v>
      </c>
      <c r="G15" s="29">
        <f>+F15*E15</f>
        <v>1066000</v>
      </c>
      <c r="I15" s="30"/>
      <c r="J15" s="30"/>
    </row>
    <row r="16" spans="2:10" ht="15.75" x14ac:dyDescent="0.25">
      <c r="B16" s="26"/>
      <c r="C16" s="27"/>
      <c r="D16" s="31" t="s">
        <v>21</v>
      </c>
      <c r="E16" s="27"/>
      <c r="F16" s="28"/>
      <c r="G16" s="29"/>
      <c r="I16" s="30"/>
      <c r="J16" s="30"/>
    </row>
    <row r="17" spans="2:10" ht="15.75" x14ac:dyDescent="0.25">
      <c r="B17" s="26"/>
      <c r="C17" s="27"/>
      <c r="D17" s="31"/>
      <c r="E17" s="27"/>
      <c r="F17" s="28"/>
      <c r="G17" s="29"/>
      <c r="I17" s="30"/>
      <c r="J17" s="30"/>
    </row>
    <row r="18" spans="2:10" ht="15.75" x14ac:dyDescent="0.25">
      <c r="B18" s="26"/>
      <c r="C18" s="27"/>
      <c r="D18" s="31"/>
      <c r="E18" s="27"/>
      <c r="F18" s="28"/>
      <c r="G18" s="29"/>
      <c r="I18" s="30"/>
      <c r="J18" s="30"/>
    </row>
    <row r="19" spans="2:10" ht="15.75" x14ac:dyDescent="0.25">
      <c r="B19" s="26"/>
      <c r="C19" s="27"/>
      <c r="D19" s="31"/>
      <c r="E19" s="27"/>
      <c r="F19" s="28"/>
      <c r="G19" s="29"/>
      <c r="I19" s="30"/>
      <c r="J19" s="30"/>
    </row>
    <row r="20" spans="2:10" ht="15.75" x14ac:dyDescent="0.25">
      <c r="B20" s="26"/>
      <c r="C20" s="27"/>
      <c r="D20" s="31"/>
      <c r="E20" s="27"/>
      <c r="F20" s="28"/>
      <c r="G20" s="29"/>
      <c r="I20" s="30"/>
      <c r="J20" s="30"/>
    </row>
    <row r="21" spans="2:10" ht="15.75" x14ac:dyDescent="0.25">
      <c r="B21" s="26"/>
      <c r="C21" s="27"/>
      <c r="D21" s="32"/>
      <c r="E21" s="27"/>
      <c r="F21" s="28"/>
      <c r="G21" s="29"/>
      <c r="I21" s="30"/>
      <c r="J21" s="30"/>
    </row>
    <row r="22" spans="2:10" ht="15.75" x14ac:dyDescent="0.25">
      <c r="B22" s="26"/>
      <c r="C22" s="27"/>
      <c r="D22" s="31"/>
      <c r="E22" s="27"/>
      <c r="F22" s="28"/>
      <c r="G22" s="29"/>
      <c r="I22" s="30"/>
      <c r="J22" s="30"/>
    </row>
    <row r="23" spans="2:10" ht="15.75" x14ac:dyDescent="0.25">
      <c r="B23" s="26"/>
      <c r="C23" s="27"/>
      <c r="D23" s="31"/>
      <c r="E23" s="33"/>
      <c r="F23" s="28"/>
      <c r="G23" s="29"/>
      <c r="I23" s="30"/>
      <c r="J23" s="30"/>
    </row>
    <row r="24" spans="2:10" ht="15.75" x14ac:dyDescent="0.25">
      <c r="B24" s="26"/>
      <c r="C24" s="27"/>
      <c r="D24" s="34"/>
      <c r="E24" s="33"/>
      <c r="F24" s="28"/>
      <c r="G24" s="29"/>
      <c r="I24" s="30"/>
      <c r="J24" s="30"/>
    </row>
    <row r="25" spans="2:10" ht="15.75" x14ac:dyDescent="0.25">
      <c r="B25" s="26"/>
      <c r="C25" s="27"/>
      <c r="D25" s="31"/>
      <c r="E25" s="33"/>
      <c r="F25" s="28"/>
      <c r="G25" s="29"/>
      <c r="I25" s="30"/>
      <c r="J25" s="30"/>
    </row>
    <row r="26" spans="2:10" ht="15.75" x14ac:dyDescent="0.25">
      <c r="B26" s="26"/>
      <c r="C26" s="27"/>
      <c r="D26" s="31"/>
      <c r="E26" s="33"/>
      <c r="F26" s="28"/>
      <c r="G26" s="29"/>
      <c r="I26" s="30"/>
      <c r="J26" s="30"/>
    </row>
    <row r="27" spans="2:10" ht="15.75" x14ac:dyDescent="0.25">
      <c r="B27" s="26"/>
      <c r="C27" s="27"/>
      <c r="D27" s="31"/>
      <c r="E27" s="33"/>
      <c r="F27" s="28"/>
      <c r="G27" s="29"/>
      <c r="I27" s="30"/>
      <c r="J27" s="30"/>
    </row>
    <row r="28" spans="2:10" ht="15.75" x14ac:dyDescent="0.25">
      <c r="B28" s="26"/>
      <c r="C28" s="27"/>
      <c r="D28" s="31"/>
      <c r="E28" s="33"/>
      <c r="F28" s="28"/>
      <c r="G28" s="29"/>
      <c r="I28" s="30"/>
      <c r="J28" s="30"/>
    </row>
    <row r="29" spans="2:10" ht="15.75" x14ac:dyDescent="0.25">
      <c r="B29" s="26"/>
      <c r="C29" s="27"/>
      <c r="D29" s="31"/>
      <c r="E29" s="27"/>
      <c r="F29" s="28"/>
      <c r="G29" s="35"/>
      <c r="I29" s="30"/>
      <c r="J29" s="30"/>
    </row>
    <row r="30" spans="2:10" ht="16.5" thickBot="1" x14ac:dyDescent="0.3">
      <c r="B30" s="36"/>
      <c r="C30" s="36"/>
      <c r="D30" s="37"/>
      <c r="E30" s="74" t="s">
        <v>11</v>
      </c>
      <c r="F30" s="73"/>
      <c r="G30" s="38">
        <f>SUM(G15:G29)</f>
        <v>1066000</v>
      </c>
    </row>
    <row r="31" spans="2:10" x14ac:dyDescent="0.25">
      <c r="B31" s="75" t="s">
        <v>22</v>
      </c>
      <c r="C31" s="76"/>
      <c r="D31" s="76"/>
      <c r="E31" s="76"/>
      <c r="F31" s="76"/>
      <c r="G31" s="77"/>
    </row>
    <row r="32" spans="2:10" ht="15.75" thickBot="1" x14ac:dyDescent="0.3">
      <c r="B32" s="78"/>
      <c r="C32" s="79"/>
      <c r="D32" s="79"/>
      <c r="E32" s="79"/>
      <c r="F32" s="79"/>
      <c r="G32" s="80"/>
    </row>
    <row r="33" spans="2:7" ht="15.75" x14ac:dyDescent="0.25">
      <c r="B33" s="9"/>
      <c r="C33" s="10"/>
      <c r="D33" s="39" t="s">
        <v>12</v>
      </c>
      <c r="E33" s="81" t="s">
        <v>13</v>
      </c>
      <c r="F33" s="81"/>
      <c r="G33" s="11"/>
    </row>
    <row r="34" spans="2:7" ht="15.75" x14ac:dyDescent="0.25">
      <c r="B34" s="18"/>
      <c r="C34" s="19"/>
      <c r="D34" s="40"/>
      <c r="E34" s="40"/>
      <c r="F34" s="40"/>
      <c r="G34" s="8"/>
    </row>
    <row r="35" spans="2:7" ht="15.75" x14ac:dyDescent="0.25">
      <c r="B35" s="18"/>
      <c r="C35" s="19"/>
      <c r="D35" s="19"/>
      <c r="E35" s="19"/>
      <c r="F35" s="19"/>
      <c r="G35" s="8"/>
    </row>
    <row r="36" spans="2:7" ht="15.75" x14ac:dyDescent="0.25">
      <c r="B36" s="18" t="s">
        <v>14</v>
      </c>
      <c r="C36" s="19"/>
      <c r="D36" s="41" t="s">
        <v>15</v>
      </c>
      <c r="E36" s="60" t="s">
        <v>16</v>
      </c>
      <c r="F36" s="60"/>
      <c r="G36" s="61"/>
    </row>
    <row r="37" spans="2:7" ht="16.5" thickBot="1" x14ac:dyDescent="0.3">
      <c r="B37" s="15" t="s">
        <v>17</v>
      </c>
      <c r="C37" s="16"/>
      <c r="D37" s="42" t="s">
        <v>35</v>
      </c>
      <c r="E37" s="62" t="s">
        <v>23</v>
      </c>
      <c r="F37" s="62"/>
      <c r="G37" s="63"/>
    </row>
  </sheetData>
  <mergeCells count="8">
    <mergeCell ref="E36:G36"/>
    <mergeCell ref="E37:G37"/>
    <mergeCell ref="B1:D1"/>
    <mergeCell ref="B2:D2"/>
    <mergeCell ref="B8:G9"/>
    <mergeCell ref="E30:F30"/>
    <mergeCell ref="B31:G32"/>
    <mergeCell ref="E33:F33"/>
  </mergeCells>
  <pageMargins left="0" right="0" top="0" bottom="0" header="0" footer="0"/>
  <pageSetup paperSize="9" scale="73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2E1B-2432-4756-BFEF-FECBEA6338C8}">
  <dimension ref="B1:J37"/>
  <sheetViews>
    <sheetView view="pageBreakPreview" zoomScale="60" zoomScaleNormal="100" workbookViewId="0">
      <selection activeCell="B31" sqref="B31:G32"/>
    </sheetView>
  </sheetViews>
  <sheetFormatPr defaultRowHeight="15" x14ac:dyDescent="0.25"/>
  <cols>
    <col min="1" max="1" width="1.140625" customWidth="1"/>
    <col min="2" max="2" width="13.28515625" customWidth="1"/>
    <col min="3" max="3" width="11.85546875" customWidth="1"/>
    <col min="4" max="4" width="69.5703125" customWidth="1"/>
    <col min="5" max="5" width="11.85546875" customWidth="1"/>
    <col min="6" max="6" width="14.28515625" bestFit="1" customWidth="1"/>
    <col min="7" max="7" width="17.5703125" customWidth="1"/>
  </cols>
  <sheetData>
    <row r="1" spans="2:10" x14ac:dyDescent="0.25">
      <c r="B1" s="64"/>
      <c r="C1" s="65"/>
      <c r="D1" s="65"/>
      <c r="E1" s="1"/>
      <c r="F1" s="1"/>
      <c r="G1" s="2"/>
    </row>
    <row r="2" spans="2:10" x14ac:dyDescent="0.25">
      <c r="B2" s="66"/>
      <c r="C2" s="67"/>
      <c r="D2" s="67"/>
      <c r="E2" s="3"/>
      <c r="F2" s="3"/>
      <c r="G2" s="4"/>
    </row>
    <row r="3" spans="2:10" ht="15.75" x14ac:dyDescent="0.25">
      <c r="B3" s="5"/>
      <c r="C3" s="6"/>
      <c r="D3" s="6"/>
      <c r="E3" s="7"/>
      <c r="F3" s="7"/>
      <c r="G3" s="8"/>
    </row>
    <row r="4" spans="2:10" ht="15.75" x14ac:dyDescent="0.25">
      <c r="B4" s="5"/>
      <c r="C4" s="6"/>
      <c r="D4" s="6"/>
      <c r="E4" s="7"/>
      <c r="F4" s="7"/>
      <c r="G4" s="8"/>
    </row>
    <row r="5" spans="2:10" ht="15.75" x14ac:dyDescent="0.25">
      <c r="B5" s="5"/>
      <c r="C5" s="6"/>
      <c r="D5" s="6"/>
      <c r="E5" s="7"/>
      <c r="F5" s="7"/>
      <c r="G5" s="8"/>
    </row>
    <row r="6" spans="2:10" ht="15.75" x14ac:dyDescent="0.25">
      <c r="B6" s="5"/>
      <c r="C6" s="6"/>
      <c r="D6" s="6"/>
      <c r="E6" s="7"/>
      <c r="F6" s="7"/>
      <c r="G6" s="8"/>
    </row>
    <row r="7" spans="2:10" ht="16.5" thickBot="1" x14ac:dyDescent="0.3">
      <c r="B7" s="5"/>
      <c r="C7" s="6"/>
      <c r="D7" s="6"/>
      <c r="E7" s="7"/>
      <c r="F7" s="7"/>
      <c r="G7" s="8"/>
    </row>
    <row r="8" spans="2:10" x14ac:dyDescent="0.25">
      <c r="B8" s="82" t="s">
        <v>0</v>
      </c>
      <c r="C8" s="83"/>
      <c r="D8" s="83"/>
      <c r="E8" s="83"/>
      <c r="F8" s="83"/>
      <c r="G8" s="84"/>
    </row>
    <row r="9" spans="2:10" ht="15.75" thickBot="1" x14ac:dyDescent="0.3">
      <c r="B9" s="71"/>
      <c r="C9" s="72"/>
      <c r="D9" s="72"/>
      <c r="E9" s="72"/>
      <c r="F9" s="72"/>
      <c r="G9" s="73"/>
    </row>
    <row r="10" spans="2:10" ht="15.75" x14ac:dyDescent="0.25">
      <c r="B10" s="9"/>
      <c r="C10" s="10"/>
      <c r="D10" s="10"/>
      <c r="E10" s="10"/>
      <c r="F10" s="10"/>
      <c r="G10" s="11"/>
    </row>
    <row r="11" spans="2:10" ht="15.75" x14ac:dyDescent="0.25">
      <c r="B11" s="12" t="s">
        <v>1</v>
      </c>
      <c r="C11" s="13" t="s">
        <v>2</v>
      </c>
      <c r="D11" s="7" t="s">
        <v>18</v>
      </c>
      <c r="E11" s="7"/>
      <c r="F11" s="7" t="s">
        <v>3</v>
      </c>
      <c r="G11" s="14"/>
    </row>
    <row r="12" spans="2:10" ht="16.5" thickBot="1" x14ac:dyDescent="0.3">
      <c r="B12" s="15"/>
      <c r="C12" s="16"/>
      <c r="D12" s="16" t="s">
        <v>4</v>
      </c>
      <c r="E12" s="16"/>
      <c r="F12" s="16"/>
      <c r="G12" s="17"/>
    </row>
    <row r="13" spans="2:10" ht="16.5" thickBot="1" x14ac:dyDescent="0.3">
      <c r="B13" s="18"/>
      <c r="C13" s="19"/>
      <c r="D13" s="19"/>
      <c r="E13" s="19"/>
      <c r="F13" s="19"/>
      <c r="G13" s="20"/>
    </row>
    <row r="14" spans="2:10" ht="16.5" thickBot="1" x14ac:dyDescent="0.3">
      <c r="B14" s="21" t="s">
        <v>5</v>
      </c>
      <c r="C14" s="22" t="s">
        <v>6</v>
      </c>
      <c r="D14" s="23" t="s">
        <v>7</v>
      </c>
      <c r="E14" s="22" t="s">
        <v>8</v>
      </c>
      <c r="F14" s="24" t="s">
        <v>9</v>
      </c>
      <c r="G14" s="25" t="s">
        <v>10</v>
      </c>
    </row>
    <row r="15" spans="2:10" ht="15.75" x14ac:dyDescent="0.25">
      <c r="B15" s="26">
        <v>1</v>
      </c>
      <c r="C15" s="27" t="s">
        <v>24</v>
      </c>
      <c r="D15" s="31" t="s">
        <v>25</v>
      </c>
      <c r="E15" s="27">
        <v>1500</v>
      </c>
      <c r="F15" s="28">
        <v>20</v>
      </c>
      <c r="G15" s="29">
        <f>+F15*E15</f>
        <v>30000</v>
      </c>
      <c r="I15" s="30"/>
      <c r="J15" s="30"/>
    </row>
    <row r="16" spans="2:10" ht="15.75" x14ac:dyDescent="0.25">
      <c r="B16" s="26"/>
      <c r="C16" s="27"/>
      <c r="D16" s="31" t="s">
        <v>26</v>
      </c>
      <c r="E16" s="27"/>
      <c r="F16" s="28"/>
      <c r="G16" s="29"/>
      <c r="I16" s="30"/>
      <c r="J16" s="30"/>
    </row>
    <row r="17" spans="2:10" ht="15.75" x14ac:dyDescent="0.25">
      <c r="B17" s="26"/>
      <c r="C17" s="27"/>
      <c r="D17" s="31" t="s">
        <v>27</v>
      </c>
      <c r="E17" s="27"/>
      <c r="F17" s="28"/>
      <c r="G17" s="29"/>
      <c r="I17" s="30"/>
      <c r="J17" s="30"/>
    </row>
    <row r="18" spans="2:10" ht="15.75" x14ac:dyDescent="0.25">
      <c r="B18" s="26"/>
      <c r="C18" s="27"/>
      <c r="D18" s="31"/>
      <c r="E18" s="27"/>
      <c r="F18" s="28"/>
      <c r="G18" s="29"/>
      <c r="I18" s="30"/>
      <c r="J18" s="30"/>
    </row>
    <row r="19" spans="2:10" ht="15.75" x14ac:dyDescent="0.25">
      <c r="B19" s="26"/>
      <c r="C19" s="27"/>
      <c r="D19" s="31"/>
      <c r="E19" s="27"/>
      <c r="F19" s="28"/>
      <c r="G19" s="29"/>
      <c r="I19" s="30"/>
      <c r="J19" s="30"/>
    </row>
    <row r="20" spans="2:10" ht="15.75" x14ac:dyDescent="0.25">
      <c r="B20" s="26"/>
      <c r="C20" s="27"/>
      <c r="D20" s="31"/>
      <c r="E20" s="27"/>
      <c r="F20" s="28"/>
      <c r="G20" s="29"/>
      <c r="I20" s="30"/>
      <c r="J20" s="30"/>
    </row>
    <row r="21" spans="2:10" ht="15.75" x14ac:dyDescent="0.25">
      <c r="B21" s="26"/>
      <c r="C21" s="27"/>
      <c r="D21" s="32"/>
      <c r="E21" s="27"/>
      <c r="F21" s="28"/>
      <c r="G21" s="29"/>
      <c r="I21" s="30"/>
      <c r="J21" s="30"/>
    </row>
    <row r="22" spans="2:10" ht="15.75" x14ac:dyDescent="0.25">
      <c r="B22" s="26"/>
      <c r="C22" s="27"/>
      <c r="D22" s="31"/>
      <c r="E22" s="27"/>
      <c r="F22" s="28"/>
      <c r="G22" s="29"/>
      <c r="I22" s="30"/>
      <c r="J22" s="30"/>
    </row>
    <row r="23" spans="2:10" ht="15.75" x14ac:dyDescent="0.25">
      <c r="B23" s="26"/>
      <c r="C23" s="27"/>
      <c r="D23" s="31"/>
      <c r="E23" s="33"/>
      <c r="F23" s="28"/>
      <c r="G23" s="29"/>
      <c r="I23" s="30"/>
      <c r="J23" s="30"/>
    </row>
    <row r="24" spans="2:10" ht="15.75" x14ac:dyDescent="0.25">
      <c r="B24" s="26"/>
      <c r="C24" s="27"/>
      <c r="D24" s="34"/>
      <c r="E24" s="33"/>
      <c r="F24" s="28"/>
      <c r="G24" s="29"/>
      <c r="I24" s="30"/>
      <c r="J24" s="30"/>
    </row>
    <row r="25" spans="2:10" ht="15.75" x14ac:dyDescent="0.25">
      <c r="B25" s="26"/>
      <c r="C25" s="27"/>
      <c r="D25" s="31"/>
      <c r="E25" s="33"/>
      <c r="F25" s="28"/>
      <c r="G25" s="29"/>
      <c r="I25" s="30"/>
      <c r="J25" s="30"/>
    </row>
    <row r="26" spans="2:10" ht="15.75" x14ac:dyDescent="0.25">
      <c r="B26" s="26"/>
      <c r="C26" s="27"/>
      <c r="D26" s="31"/>
      <c r="E26" s="33"/>
      <c r="F26" s="28"/>
      <c r="G26" s="29"/>
      <c r="I26" s="30"/>
      <c r="J26" s="30"/>
    </row>
    <row r="27" spans="2:10" ht="15.75" x14ac:dyDescent="0.25">
      <c r="B27" s="26"/>
      <c r="C27" s="27"/>
      <c r="D27" s="31"/>
      <c r="E27" s="33"/>
      <c r="F27" s="28"/>
      <c r="G27" s="29"/>
      <c r="I27" s="30"/>
      <c r="J27" s="30"/>
    </row>
    <row r="28" spans="2:10" ht="15.75" x14ac:dyDescent="0.25">
      <c r="B28" s="26"/>
      <c r="C28" s="27"/>
      <c r="D28" s="31"/>
      <c r="E28" s="33"/>
      <c r="F28" s="28"/>
      <c r="G28" s="29"/>
      <c r="I28" s="30"/>
      <c r="J28" s="30"/>
    </row>
    <row r="29" spans="2:10" ht="15.75" x14ac:dyDescent="0.25">
      <c r="B29" s="26"/>
      <c r="C29" s="27"/>
      <c r="D29" s="31"/>
      <c r="E29" s="27"/>
      <c r="F29" s="28"/>
      <c r="G29" s="35"/>
      <c r="I29" s="30"/>
      <c r="J29" s="30"/>
    </row>
    <row r="30" spans="2:10" ht="16.5" thickBot="1" x14ac:dyDescent="0.3">
      <c r="B30" s="36"/>
      <c r="C30" s="36"/>
      <c r="D30" s="37"/>
      <c r="E30" s="74" t="s">
        <v>11</v>
      </c>
      <c r="F30" s="73"/>
      <c r="G30" s="38">
        <f>SUM(G15:G29)</f>
        <v>30000</v>
      </c>
    </row>
    <row r="31" spans="2:10" x14ac:dyDescent="0.25">
      <c r="B31" s="75" t="s">
        <v>28</v>
      </c>
      <c r="C31" s="76"/>
      <c r="D31" s="76"/>
      <c r="E31" s="76"/>
      <c r="F31" s="76"/>
      <c r="G31" s="77"/>
    </row>
    <row r="32" spans="2:10" ht="15.75" thickBot="1" x14ac:dyDescent="0.3">
      <c r="B32" s="78"/>
      <c r="C32" s="79"/>
      <c r="D32" s="79"/>
      <c r="E32" s="79"/>
      <c r="F32" s="79"/>
      <c r="G32" s="80"/>
    </row>
    <row r="33" spans="2:7" ht="15.75" x14ac:dyDescent="0.25">
      <c r="B33" s="9"/>
      <c r="C33" s="10"/>
      <c r="D33" s="39" t="s">
        <v>12</v>
      </c>
      <c r="E33" s="81" t="s">
        <v>13</v>
      </c>
      <c r="F33" s="81"/>
      <c r="G33" s="11"/>
    </row>
    <row r="34" spans="2:7" ht="15.75" x14ac:dyDescent="0.25">
      <c r="B34" s="18"/>
      <c r="C34" s="19"/>
      <c r="D34" s="40"/>
      <c r="E34" s="40"/>
      <c r="F34" s="40"/>
      <c r="G34" s="8"/>
    </row>
    <row r="35" spans="2:7" ht="15.75" x14ac:dyDescent="0.25">
      <c r="B35" s="18"/>
      <c r="C35" s="19"/>
      <c r="D35" s="19"/>
      <c r="E35" s="19"/>
      <c r="F35" s="19"/>
      <c r="G35" s="8"/>
    </row>
    <row r="36" spans="2:7" ht="15.75" x14ac:dyDescent="0.25">
      <c r="B36" s="18" t="s">
        <v>14</v>
      </c>
      <c r="C36" s="19"/>
      <c r="D36" s="41" t="s">
        <v>15</v>
      </c>
      <c r="E36" s="60" t="s">
        <v>16</v>
      </c>
      <c r="F36" s="60"/>
      <c r="G36" s="61"/>
    </row>
    <row r="37" spans="2:7" ht="16.5" thickBot="1" x14ac:dyDescent="0.3">
      <c r="B37" s="15" t="s">
        <v>17</v>
      </c>
      <c r="C37" s="16"/>
      <c r="D37" s="42" t="s">
        <v>35</v>
      </c>
      <c r="E37" s="62" t="s">
        <v>23</v>
      </c>
      <c r="F37" s="62"/>
      <c r="G37" s="63"/>
    </row>
  </sheetData>
  <mergeCells count="8">
    <mergeCell ref="E36:G36"/>
    <mergeCell ref="E37:G37"/>
    <mergeCell ref="B1:D1"/>
    <mergeCell ref="B2:D2"/>
    <mergeCell ref="B8:G9"/>
    <mergeCell ref="E30:F30"/>
    <mergeCell ref="B31:G32"/>
    <mergeCell ref="E33:F33"/>
  </mergeCells>
  <pageMargins left="0" right="0" top="0" bottom="0" header="0" footer="0"/>
  <pageSetup paperSize="9" scale="73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3B02-0B78-4BF8-A79B-36B64AEC461E}">
  <dimension ref="B1:J37"/>
  <sheetViews>
    <sheetView view="pageBreakPreview" zoomScale="60" zoomScaleNormal="100" workbookViewId="0">
      <selection activeCell="D17" sqref="D17"/>
    </sheetView>
  </sheetViews>
  <sheetFormatPr defaultRowHeight="15" x14ac:dyDescent="0.25"/>
  <cols>
    <col min="1" max="1" width="1.140625" customWidth="1"/>
    <col min="2" max="2" width="13.28515625" customWidth="1"/>
    <col min="3" max="3" width="11.85546875" customWidth="1"/>
    <col min="4" max="4" width="69.5703125" customWidth="1"/>
    <col min="5" max="5" width="11.85546875" customWidth="1"/>
    <col min="6" max="6" width="14.28515625" bestFit="1" customWidth="1"/>
    <col min="7" max="7" width="17.5703125" customWidth="1"/>
  </cols>
  <sheetData>
    <row r="1" spans="2:10" x14ac:dyDescent="0.25">
      <c r="B1" s="64"/>
      <c r="C1" s="65"/>
      <c r="D1" s="65"/>
      <c r="E1" s="1"/>
      <c r="F1" s="1"/>
      <c r="G1" s="2"/>
    </row>
    <row r="2" spans="2:10" x14ac:dyDescent="0.25">
      <c r="B2" s="66"/>
      <c r="C2" s="67"/>
      <c r="D2" s="67"/>
      <c r="E2" s="3"/>
      <c r="F2" s="3"/>
      <c r="G2" s="4"/>
    </row>
    <row r="3" spans="2:10" ht="15.75" x14ac:dyDescent="0.25">
      <c r="B3" s="5"/>
      <c r="C3" s="6"/>
      <c r="D3" s="6"/>
      <c r="E3" s="7"/>
      <c r="F3" s="7"/>
      <c r="G3" s="8"/>
    </row>
    <row r="4" spans="2:10" ht="15.75" x14ac:dyDescent="0.25">
      <c r="B4" s="5"/>
      <c r="C4" s="6"/>
      <c r="D4" s="6"/>
      <c r="E4" s="7"/>
      <c r="F4" s="7"/>
      <c r="G4" s="8"/>
    </row>
    <row r="5" spans="2:10" ht="15.75" x14ac:dyDescent="0.25">
      <c r="B5" s="5"/>
      <c r="C5" s="6"/>
      <c r="D5" s="6"/>
      <c r="E5" s="7"/>
      <c r="F5" s="7"/>
      <c r="G5" s="8"/>
    </row>
    <row r="6" spans="2:10" ht="15.75" x14ac:dyDescent="0.25">
      <c r="B6" s="5"/>
      <c r="C6" s="6"/>
      <c r="D6" s="6"/>
      <c r="E6" s="7"/>
      <c r="F6" s="7"/>
      <c r="G6" s="8"/>
    </row>
    <row r="7" spans="2:10" ht="16.5" thickBot="1" x14ac:dyDescent="0.3">
      <c r="B7" s="5"/>
      <c r="C7" s="6"/>
      <c r="D7" s="6"/>
      <c r="E7" s="7"/>
      <c r="F7" s="7"/>
      <c r="G7" s="8"/>
    </row>
    <row r="8" spans="2:10" x14ac:dyDescent="0.25">
      <c r="B8" s="82" t="s">
        <v>0</v>
      </c>
      <c r="C8" s="83"/>
      <c r="D8" s="83"/>
      <c r="E8" s="83"/>
      <c r="F8" s="83"/>
      <c r="G8" s="84"/>
    </row>
    <row r="9" spans="2:10" ht="15.75" thickBot="1" x14ac:dyDescent="0.3">
      <c r="B9" s="71"/>
      <c r="C9" s="72"/>
      <c r="D9" s="72"/>
      <c r="E9" s="72"/>
      <c r="F9" s="72"/>
      <c r="G9" s="73"/>
    </row>
    <row r="10" spans="2:10" ht="15.75" x14ac:dyDescent="0.25">
      <c r="B10" s="9"/>
      <c r="C10" s="10"/>
      <c r="D10" s="10"/>
      <c r="E10" s="10"/>
      <c r="F10" s="10"/>
      <c r="G10" s="11"/>
    </row>
    <row r="11" spans="2:10" ht="15.75" x14ac:dyDescent="0.25">
      <c r="B11" s="12" t="s">
        <v>1</v>
      </c>
      <c r="C11" s="13" t="s">
        <v>2</v>
      </c>
      <c r="D11" s="7" t="s">
        <v>18</v>
      </c>
      <c r="E11" s="7"/>
      <c r="F11" s="7" t="s">
        <v>3</v>
      </c>
      <c r="G11" s="14"/>
    </row>
    <row r="12" spans="2:10" ht="16.5" thickBot="1" x14ac:dyDescent="0.3">
      <c r="B12" s="15"/>
      <c r="C12" s="16"/>
      <c r="D12" s="16" t="s">
        <v>4</v>
      </c>
      <c r="E12" s="16"/>
      <c r="F12" s="16"/>
      <c r="G12" s="17"/>
    </row>
    <row r="13" spans="2:10" ht="16.5" thickBot="1" x14ac:dyDescent="0.3">
      <c r="B13" s="18"/>
      <c r="C13" s="19"/>
      <c r="D13" s="19"/>
      <c r="E13" s="19"/>
      <c r="F13" s="19"/>
      <c r="G13" s="20"/>
    </row>
    <row r="14" spans="2:10" ht="16.5" thickBot="1" x14ac:dyDescent="0.3">
      <c r="B14" s="21" t="s">
        <v>5</v>
      </c>
      <c r="C14" s="22" t="s">
        <v>6</v>
      </c>
      <c r="D14" s="23" t="s">
        <v>7</v>
      </c>
      <c r="E14" s="22" t="s">
        <v>8</v>
      </c>
      <c r="F14" s="24" t="s">
        <v>9</v>
      </c>
      <c r="G14" s="25" t="s">
        <v>10</v>
      </c>
    </row>
    <row r="15" spans="2:10" ht="15.75" x14ac:dyDescent="0.25">
      <c r="B15" s="26">
        <v>1</v>
      </c>
      <c r="C15" s="27" t="s">
        <v>29</v>
      </c>
      <c r="D15" s="31" t="s">
        <v>30</v>
      </c>
      <c r="E15" s="27">
        <v>850</v>
      </c>
      <c r="F15" s="28">
        <v>50</v>
      </c>
      <c r="G15" s="29">
        <f>+F15*E15</f>
        <v>42500</v>
      </c>
      <c r="I15" s="30"/>
      <c r="J15" s="30"/>
    </row>
    <row r="16" spans="2:10" ht="15.75" x14ac:dyDescent="0.25">
      <c r="B16" s="26"/>
      <c r="C16" s="27"/>
      <c r="D16" s="31" t="s">
        <v>26</v>
      </c>
      <c r="E16" s="27"/>
      <c r="F16" s="28"/>
      <c r="G16" s="29"/>
      <c r="I16" s="30"/>
      <c r="J16" s="30"/>
    </row>
    <row r="17" spans="2:10" ht="15.75" x14ac:dyDescent="0.25">
      <c r="B17" s="26"/>
      <c r="C17" s="27"/>
      <c r="D17" s="31" t="s">
        <v>31</v>
      </c>
      <c r="E17" s="27"/>
      <c r="F17" s="28"/>
      <c r="G17" s="29"/>
      <c r="I17" s="30"/>
      <c r="J17" s="30"/>
    </row>
    <row r="18" spans="2:10" ht="15.75" x14ac:dyDescent="0.25">
      <c r="B18" s="26"/>
      <c r="C18" s="27"/>
      <c r="D18" s="31"/>
      <c r="E18" s="27"/>
      <c r="F18" s="28"/>
      <c r="G18" s="29"/>
      <c r="I18" s="30"/>
      <c r="J18" s="30"/>
    </row>
    <row r="19" spans="2:10" ht="15.75" x14ac:dyDescent="0.25">
      <c r="B19" s="26"/>
      <c r="C19" s="27"/>
      <c r="D19" s="31"/>
      <c r="E19" s="27"/>
      <c r="F19" s="28"/>
      <c r="G19" s="29"/>
      <c r="I19" s="30"/>
      <c r="J19" s="30"/>
    </row>
    <row r="20" spans="2:10" ht="15.75" x14ac:dyDescent="0.25">
      <c r="B20" s="26"/>
      <c r="C20" s="27"/>
      <c r="D20" s="31"/>
      <c r="E20" s="27"/>
      <c r="F20" s="28"/>
      <c r="G20" s="29"/>
      <c r="I20" s="30"/>
      <c r="J20" s="30"/>
    </row>
    <row r="21" spans="2:10" ht="15.75" x14ac:dyDescent="0.25">
      <c r="B21" s="26"/>
      <c r="C21" s="27"/>
      <c r="D21" s="32"/>
      <c r="E21" s="27"/>
      <c r="F21" s="28"/>
      <c r="G21" s="29"/>
      <c r="I21" s="30"/>
      <c r="J21" s="30"/>
    </row>
    <row r="22" spans="2:10" ht="15.75" x14ac:dyDescent="0.25">
      <c r="B22" s="26"/>
      <c r="C22" s="27"/>
      <c r="D22" s="31"/>
      <c r="E22" s="27"/>
      <c r="F22" s="28"/>
      <c r="G22" s="29"/>
      <c r="I22" s="30"/>
      <c r="J22" s="30"/>
    </row>
    <row r="23" spans="2:10" ht="15.75" x14ac:dyDescent="0.25">
      <c r="B23" s="26"/>
      <c r="C23" s="27"/>
      <c r="D23" s="31"/>
      <c r="E23" s="33"/>
      <c r="F23" s="28"/>
      <c r="G23" s="29"/>
      <c r="I23" s="30"/>
      <c r="J23" s="30"/>
    </row>
    <row r="24" spans="2:10" ht="15.75" x14ac:dyDescent="0.25">
      <c r="B24" s="26"/>
      <c r="C24" s="27"/>
      <c r="D24" s="34"/>
      <c r="E24" s="33"/>
      <c r="F24" s="28"/>
      <c r="G24" s="29"/>
      <c r="I24" s="30"/>
      <c r="J24" s="30"/>
    </row>
    <row r="25" spans="2:10" ht="15.75" x14ac:dyDescent="0.25">
      <c r="B25" s="26"/>
      <c r="C25" s="27"/>
      <c r="D25" s="31"/>
      <c r="E25" s="33"/>
      <c r="F25" s="28"/>
      <c r="G25" s="29"/>
      <c r="I25" s="30"/>
      <c r="J25" s="30"/>
    </row>
    <row r="26" spans="2:10" ht="15.75" x14ac:dyDescent="0.25">
      <c r="B26" s="26"/>
      <c r="C26" s="27"/>
      <c r="D26" s="31"/>
      <c r="E26" s="33"/>
      <c r="F26" s="28"/>
      <c r="G26" s="29"/>
      <c r="I26" s="30"/>
      <c r="J26" s="30"/>
    </row>
    <row r="27" spans="2:10" ht="15.75" x14ac:dyDescent="0.25">
      <c r="B27" s="26"/>
      <c r="C27" s="27"/>
      <c r="D27" s="31"/>
      <c r="E27" s="33"/>
      <c r="F27" s="28"/>
      <c r="G27" s="29"/>
      <c r="I27" s="30"/>
      <c r="J27" s="30"/>
    </row>
    <row r="28" spans="2:10" ht="15.75" x14ac:dyDescent="0.25">
      <c r="B28" s="26"/>
      <c r="C28" s="27"/>
      <c r="D28" s="31"/>
      <c r="E28" s="33"/>
      <c r="F28" s="28"/>
      <c r="G28" s="29"/>
      <c r="I28" s="30"/>
      <c r="J28" s="30"/>
    </row>
    <row r="29" spans="2:10" ht="15.75" x14ac:dyDescent="0.25">
      <c r="B29" s="26"/>
      <c r="C29" s="27"/>
      <c r="D29" s="31"/>
      <c r="E29" s="27"/>
      <c r="F29" s="28"/>
      <c r="G29" s="35"/>
      <c r="I29" s="30"/>
      <c r="J29" s="30"/>
    </row>
    <row r="30" spans="2:10" ht="16.5" thickBot="1" x14ac:dyDescent="0.3">
      <c r="B30" s="36"/>
      <c r="C30" s="36"/>
      <c r="D30" s="37"/>
      <c r="E30" s="74" t="s">
        <v>11</v>
      </c>
      <c r="F30" s="73"/>
      <c r="G30" s="38">
        <f>SUM(G15:G29)</f>
        <v>42500</v>
      </c>
    </row>
    <row r="31" spans="2:10" x14ac:dyDescent="0.25">
      <c r="B31" s="75" t="s">
        <v>32</v>
      </c>
      <c r="C31" s="76"/>
      <c r="D31" s="76"/>
      <c r="E31" s="76"/>
      <c r="F31" s="76"/>
      <c r="G31" s="77"/>
    </row>
    <row r="32" spans="2:10" ht="15.75" thickBot="1" x14ac:dyDescent="0.3">
      <c r="B32" s="78"/>
      <c r="C32" s="79"/>
      <c r="D32" s="79"/>
      <c r="E32" s="79"/>
      <c r="F32" s="79"/>
      <c r="G32" s="80"/>
    </row>
    <row r="33" spans="2:7" ht="15.75" x14ac:dyDescent="0.25">
      <c r="B33" s="9"/>
      <c r="C33" s="10"/>
      <c r="D33" s="39" t="s">
        <v>12</v>
      </c>
      <c r="E33" s="81" t="s">
        <v>13</v>
      </c>
      <c r="F33" s="81"/>
      <c r="G33" s="11"/>
    </row>
    <row r="34" spans="2:7" ht="15.75" x14ac:dyDescent="0.25">
      <c r="B34" s="18"/>
      <c r="C34" s="19"/>
      <c r="D34" s="40"/>
      <c r="E34" s="40"/>
      <c r="F34" s="40"/>
      <c r="G34" s="8"/>
    </row>
    <row r="35" spans="2:7" ht="15.75" x14ac:dyDescent="0.25">
      <c r="B35" s="18"/>
      <c r="C35" s="19"/>
      <c r="D35" s="19"/>
      <c r="E35" s="19"/>
      <c r="F35" s="19"/>
      <c r="G35" s="8"/>
    </row>
    <row r="36" spans="2:7" ht="15.75" x14ac:dyDescent="0.25">
      <c r="B36" s="18" t="s">
        <v>14</v>
      </c>
      <c r="C36" s="19"/>
      <c r="D36" s="41" t="s">
        <v>15</v>
      </c>
      <c r="E36" s="60" t="s">
        <v>16</v>
      </c>
      <c r="F36" s="60"/>
      <c r="G36" s="61"/>
    </row>
    <row r="37" spans="2:7" ht="16.5" thickBot="1" x14ac:dyDescent="0.3">
      <c r="B37" s="15" t="s">
        <v>17</v>
      </c>
      <c r="C37" s="16"/>
      <c r="D37" s="42" t="s">
        <v>35</v>
      </c>
      <c r="E37" s="62" t="s">
        <v>23</v>
      </c>
      <c r="F37" s="62"/>
      <c r="G37" s="63"/>
    </row>
  </sheetData>
  <mergeCells count="8">
    <mergeCell ref="E36:G36"/>
    <mergeCell ref="E37:G37"/>
    <mergeCell ref="B1:D1"/>
    <mergeCell ref="B2:D2"/>
    <mergeCell ref="B8:G9"/>
    <mergeCell ref="E30:F30"/>
    <mergeCell ref="B31:G32"/>
    <mergeCell ref="E33:F33"/>
  </mergeCells>
  <pageMargins left="0" right="0" top="0" bottom="0" header="0" footer="0"/>
  <pageSetup paperSize="9" scale="73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AA7F-0316-463C-9F32-190A04342AFC}">
  <dimension ref="B1:J37"/>
  <sheetViews>
    <sheetView zoomScaleNormal="100" workbookViewId="0">
      <selection activeCell="D21" sqref="D21"/>
    </sheetView>
  </sheetViews>
  <sheetFormatPr defaultRowHeight="15" x14ac:dyDescent="0.25"/>
  <cols>
    <col min="1" max="1" width="1.140625" customWidth="1"/>
    <col min="2" max="2" width="13.28515625" customWidth="1"/>
    <col min="3" max="3" width="11.85546875" customWidth="1"/>
    <col min="4" max="4" width="69.5703125" customWidth="1"/>
    <col min="5" max="5" width="11.85546875" customWidth="1"/>
    <col min="6" max="6" width="14.28515625" bestFit="1" customWidth="1"/>
    <col min="7" max="7" width="17.5703125" customWidth="1"/>
  </cols>
  <sheetData>
    <row r="1" spans="2:10" x14ac:dyDescent="0.25">
      <c r="B1" s="64"/>
      <c r="C1" s="65"/>
      <c r="D1" s="65"/>
      <c r="E1" s="1"/>
      <c r="F1" s="1"/>
      <c r="G1" s="2"/>
    </row>
    <row r="2" spans="2:10" x14ac:dyDescent="0.25">
      <c r="B2" s="66"/>
      <c r="C2" s="67"/>
      <c r="D2" s="67"/>
      <c r="E2" s="3"/>
      <c r="F2" s="3"/>
      <c r="G2" s="4"/>
    </row>
    <row r="3" spans="2:10" ht="15.75" x14ac:dyDescent="0.25">
      <c r="B3" s="5"/>
      <c r="C3" s="6"/>
      <c r="D3" s="6"/>
      <c r="E3" s="7"/>
      <c r="F3" s="7"/>
      <c r="G3" s="8"/>
    </row>
    <row r="4" spans="2:10" ht="15.75" x14ac:dyDescent="0.25">
      <c r="B4" s="5"/>
      <c r="C4" s="6"/>
      <c r="D4" s="6"/>
      <c r="E4" s="7"/>
      <c r="F4" s="7"/>
      <c r="G4" s="8"/>
    </row>
    <row r="5" spans="2:10" ht="15.75" x14ac:dyDescent="0.25">
      <c r="B5" s="5"/>
      <c r="C5" s="6"/>
      <c r="D5" s="6"/>
      <c r="E5" s="7"/>
      <c r="F5" s="7"/>
      <c r="G5" s="8"/>
    </row>
    <row r="6" spans="2:10" ht="15.75" x14ac:dyDescent="0.25">
      <c r="B6" s="5"/>
      <c r="C6" s="6"/>
      <c r="D6" s="6"/>
      <c r="E6" s="7"/>
      <c r="F6" s="7"/>
      <c r="G6" s="8"/>
    </row>
    <row r="7" spans="2:10" ht="16.5" thickBot="1" x14ac:dyDescent="0.3">
      <c r="B7" s="5"/>
      <c r="C7" s="6"/>
      <c r="D7" s="6"/>
      <c r="E7" s="7"/>
      <c r="F7" s="7"/>
      <c r="G7" s="8"/>
    </row>
    <row r="8" spans="2:10" x14ac:dyDescent="0.25">
      <c r="B8" s="82" t="s">
        <v>0</v>
      </c>
      <c r="C8" s="83"/>
      <c r="D8" s="83"/>
      <c r="E8" s="83"/>
      <c r="F8" s="83"/>
      <c r="G8" s="84"/>
    </row>
    <row r="9" spans="2:10" ht="15.75" thickBot="1" x14ac:dyDescent="0.3">
      <c r="B9" s="71"/>
      <c r="C9" s="72"/>
      <c r="D9" s="72"/>
      <c r="E9" s="72"/>
      <c r="F9" s="72"/>
      <c r="G9" s="73"/>
    </row>
    <row r="10" spans="2:10" ht="15.75" x14ac:dyDescent="0.25">
      <c r="B10" s="9"/>
      <c r="C10" s="10"/>
      <c r="D10" s="10"/>
      <c r="E10" s="10"/>
      <c r="F10" s="10"/>
      <c r="G10" s="11"/>
    </row>
    <row r="11" spans="2:10" ht="15.75" x14ac:dyDescent="0.25">
      <c r="B11" s="12" t="s">
        <v>1</v>
      </c>
      <c r="C11" s="13" t="s">
        <v>2</v>
      </c>
      <c r="D11" s="7" t="s">
        <v>18</v>
      </c>
      <c r="E11" s="7"/>
      <c r="F11" s="7" t="s">
        <v>3</v>
      </c>
      <c r="G11" s="14"/>
    </row>
    <row r="12" spans="2:10" ht="16.5" thickBot="1" x14ac:dyDescent="0.3">
      <c r="B12" s="15"/>
      <c r="C12" s="16"/>
      <c r="D12" s="16" t="s">
        <v>4</v>
      </c>
      <c r="E12" s="16"/>
      <c r="F12" s="16"/>
      <c r="G12" s="17"/>
    </row>
    <row r="13" spans="2:10" ht="16.5" thickBot="1" x14ac:dyDescent="0.3">
      <c r="B13" s="18"/>
      <c r="C13" s="19"/>
      <c r="D13" s="19"/>
      <c r="E13" s="19"/>
      <c r="F13" s="19"/>
      <c r="G13" s="20"/>
    </row>
    <row r="14" spans="2:10" ht="16.5" thickBot="1" x14ac:dyDescent="0.3">
      <c r="B14" s="21" t="s">
        <v>5</v>
      </c>
      <c r="C14" s="22" t="s">
        <v>6</v>
      </c>
      <c r="D14" s="23" t="s">
        <v>7</v>
      </c>
      <c r="E14" s="22" t="s">
        <v>8</v>
      </c>
      <c r="F14" s="24" t="s">
        <v>9</v>
      </c>
      <c r="G14" s="25" t="s">
        <v>10</v>
      </c>
    </row>
    <row r="15" spans="2:10" ht="15.75" x14ac:dyDescent="0.25">
      <c r="B15" s="26">
        <v>1</v>
      </c>
      <c r="C15" s="27" t="s">
        <v>33</v>
      </c>
      <c r="D15" s="31" t="s">
        <v>34</v>
      </c>
      <c r="E15" s="27">
        <v>3</v>
      </c>
      <c r="F15" s="28">
        <f>+G15/E15</f>
        <v>215666.66666666666</v>
      </c>
      <c r="G15" s="29">
        <v>647000</v>
      </c>
      <c r="I15" s="30"/>
      <c r="J15" s="30"/>
    </row>
    <row r="16" spans="2:10" ht="15.75" x14ac:dyDescent="0.25">
      <c r="B16" s="26"/>
      <c r="C16" s="27"/>
      <c r="D16" s="31" t="s">
        <v>21</v>
      </c>
      <c r="E16" s="27"/>
      <c r="F16" s="28"/>
      <c r="G16" s="29"/>
      <c r="I16" s="30"/>
      <c r="J16" s="30"/>
    </row>
    <row r="17" spans="2:10" ht="15.75" x14ac:dyDescent="0.25">
      <c r="B17" s="26"/>
      <c r="C17" s="27"/>
      <c r="D17" s="31"/>
      <c r="E17" s="27"/>
      <c r="F17" s="28"/>
      <c r="G17" s="29"/>
      <c r="I17" s="30"/>
      <c r="J17" s="30"/>
    </row>
    <row r="18" spans="2:10" ht="15.75" x14ac:dyDescent="0.25">
      <c r="B18" s="26"/>
      <c r="C18" s="27"/>
      <c r="D18" s="31"/>
      <c r="E18" s="27"/>
      <c r="F18" s="28"/>
      <c r="G18" s="29"/>
      <c r="I18" s="30"/>
      <c r="J18" s="30"/>
    </row>
    <row r="19" spans="2:10" ht="15.75" x14ac:dyDescent="0.25">
      <c r="B19" s="26"/>
      <c r="C19" s="27"/>
      <c r="D19" s="31"/>
      <c r="E19" s="27"/>
      <c r="F19" s="28"/>
      <c r="G19" s="29"/>
      <c r="I19" s="30"/>
      <c r="J19" s="30"/>
    </row>
    <row r="20" spans="2:10" ht="15.75" x14ac:dyDescent="0.25">
      <c r="B20" s="26"/>
      <c r="C20" s="27"/>
      <c r="D20" s="31"/>
      <c r="E20" s="27"/>
      <c r="F20" s="28"/>
      <c r="G20" s="29"/>
      <c r="I20" s="30"/>
      <c r="J20" s="30"/>
    </row>
    <row r="21" spans="2:10" ht="15.75" x14ac:dyDescent="0.25">
      <c r="B21" s="26"/>
      <c r="C21" s="27"/>
      <c r="D21" s="32"/>
      <c r="E21" s="27"/>
      <c r="F21" s="28"/>
      <c r="G21" s="29"/>
      <c r="I21" s="30"/>
      <c r="J21" s="30"/>
    </row>
    <row r="22" spans="2:10" ht="15.75" x14ac:dyDescent="0.25">
      <c r="B22" s="26"/>
      <c r="C22" s="27"/>
      <c r="D22" s="31"/>
      <c r="E22" s="27"/>
      <c r="F22" s="28"/>
      <c r="G22" s="29"/>
      <c r="I22" s="30"/>
      <c r="J22" s="30"/>
    </row>
    <row r="23" spans="2:10" ht="15.75" x14ac:dyDescent="0.25">
      <c r="B23" s="26"/>
      <c r="C23" s="27"/>
      <c r="D23" s="31"/>
      <c r="E23" s="33"/>
      <c r="F23" s="28"/>
      <c r="G23" s="29"/>
      <c r="I23" s="30"/>
      <c r="J23" s="30"/>
    </row>
    <row r="24" spans="2:10" ht="15.75" x14ac:dyDescent="0.25">
      <c r="B24" s="26"/>
      <c r="C24" s="27"/>
      <c r="D24" s="34"/>
      <c r="E24" s="33"/>
      <c r="F24" s="28"/>
      <c r="G24" s="29"/>
      <c r="I24" s="30"/>
      <c r="J24" s="30"/>
    </row>
    <row r="25" spans="2:10" ht="15.75" x14ac:dyDescent="0.25">
      <c r="B25" s="26"/>
      <c r="C25" s="27"/>
      <c r="D25" s="31"/>
      <c r="E25" s="33"/>
      <c r="F25" s="28"/>
      <c r="G25" s="29"/>
      <c r="I25" s="30"/>
      <c r="J25" s="30"/>
    </row>
    <row r="26" spans="2:10" ht="15.75" x14ac:dyDescent="0.25">
      <c r="B26" s="26"/>
      <c r="C26" s="27"/>
      <c r="D26" s="31"/>
      <c r="E26" s="33"/>
      <c r="F26" s="28"/>
      <c r="G26" s="29"/>
      <c r="I26" s="30"/>
      <c r="J26" s="30"/>
    </row>
    <row r="27" spans="2:10" ht="15.75" x14ac:dyDescent="0.25">
      <c r="B27" s="26"/>
      <c r="C27" s="27"/>
      <c r="D27" s="31"/>
      <c r="E27" s="33"/>
      <c r="F27" s="28"/>
      <c r="G27" s="29"/>
      <c r="I27" s="30"/>
      <c r="J27" s="30"/>
    </row>
    <row r="28" spans="2:10" ht="15.75" x14ac:dyDescent="0.25">
      <c r="B28" s="26"/>
      <c r="C28" s="27"/>
      <c r="D28" s="31"/>
      <c r="E28" s="33"/>
      <c r="F28" s="28"/>
      <c r="G28" s="29"/>
      <c r="I28" s="30"/>
      <c r="J28" s="30"/>
    </row>
    <row r="29" spans="2:10" ht="15.75" x14ac:dyDescent="0.25">
      <c r="B29" s="26"/>
      <c r="C29" s="27"/>
      <c r="D29" s="31"/>
      <c r="E29" s="27"/>
      <c r="F29" s="28"/>
      <c r="G29" s="35"/>
      <c r="I29" s="30"/>
      <c r="J29" s="30"/>
    </row>
    <row r="30" spans="2:10" ht="16.5" thickBot="1" x14ac:dyDescent="0.3">
      <c r="B30" s="36"/>
      <c r="C30" s="36"/>
      <c r="D30" s="37"/>
      <c r="E30" s="74" t="s">
        <v>11</v>
      </c>
      <c r="F30" s="73"/>
      <c r="G30" s="38">
        <f>SUM(G15:G29)</f>
        <v>647000</v>
      </c>
    </row>
    <row r="31" spans="2:10" ht="14.45" customHeight="1" x14ac:dyDescent="0.25">
      <c r="B31" s="75" t="s">
        <v>36</v>
      </c>
      <c r="C31" s="76"/>
      <c r="D31" s="76"/>
      <c r="E31" s="76"/>
      <c r="F31" s="76"/>
      <c r="G31" s="77"/>
    </row>
    <row r="32" spans="2:10" ht="15" customHeight="1" thickBot="1" x14ac:dyDescent="0.3">
      <c r="B32" s="78"/>
      <c r="C32" s="79"/>
      <c r="D32" s="79"/>
      <c r="E32" s="79"/>
      <c r="F32" s="79"/>
      <c r="G32" s="80"/>
    </row>
    <row r="33" spans="2:7" ht="15.75" x14ac:dyDescent="0.25">
      <c r="B33" s="9"/>
      <c r="C33" s="10"/>
      <c r="D33" s="39" t="s">
        <v>12</v>
      </c>
      <c r="E33" s="81" t="s">
        <v>13</v>
      </c>
      <c r="F33" s="81"/>
      <c r="G33" s="11"/>
    </row>
    <row r="34" spans="2:7" ht="15.75" x14ac:dyDescent="0.25">
      <c r="B34" s="18"/>
      <c r="C34" s="19"/>
      <c r="D34" s="40"/>
      <c r="E34" s="40"/>
      <c r="F34" s="40"/>
      <c r="G34" s="8"/>
    </row>
    <row r="35" spans="2:7" ht="15.75" x14ac:dyDescent="0.25">
      <c r="B35" s="18"/>
      <c r="C35" s="19"/>
      <c r="D35" s="19"/>
      <c r="E35" s="19"/>
      <c r="F35" s="19"/>
      <c r="G35" s="8"/>
    </row>
    <row r="36" spans="2:7" ht="15.75" x14ac:dyDescent="0.25">
      <c r="B36" s="18" t="s">
        <v>14</v>
      </c>
      <c r="C36" s="19"/>
      <c r="D36" s="41" t="s">
        <v>15</v>
      </c>
      <c r="E36" s="60" t="s">
        <v>16</v>
      </c>
      <c r="F36" s="60"/>
      <c r="G36" s="61"/>
    </row>
    <row r="37" spans="2:7" ht="16.5" thickBot="1" x14ac:dyDescent="0.3">
      <c r="B37" s="15" t="s">
        <v>17</v>
      </c>
      <c r="C37" s="16"/>
      <c r="D37" s="42" t="s">
        <v>35</v>
      </c>
      <c r="E37" s="62" t="s">
        <v>23</v>
      </c>
      <c r="F37" s="62"/>
      <c r="G37" s="63"/>
    </row>
  </sheetData>
  <mergeCells count="8">
    <mergeCell ref="E36:G36"/>
    <mergeCell ref="E37:G37"/>
    <mergeCell ref="B1:D1"/>
    <mergeCell ref="B2:D2"/>
    <mergeCell ref="B8:G9"/>
    <mergeCell ref="E30:F30"/>
    <mergeCell ref="B31:G32"/>
    <mergeCell ref="E33:F33"/>
  </mergeCells>
  <pageMargins left="0" right="0" top="0" bottom="0" header="0" footer="0"/>
  <pageSetup paperSize="9" scale="73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11A4-D0C9-4102-94E5-3EF2545D242F}">
  <dimension ref="B1:J37"/>
  <sheetViews>
    <sheetView view="pageBreakPreview" zoomScale="60" zoomScaleNormal="100" workbookViewId="0">
      <selection activeCell="F46" sqref="F46"/>
    </sheetView>
  </sheetViews>
  <sheetFormatPr defaultRowHeight="15" x14ac:dyDescent="0.25"/>
  <cols>
    <col min="1" max="1" width="1.140625" customWidth="1"/>
    <col min="2" max="2" width="13.28515625" customWidth="1"/>
    <col min="3" max="3" width="11.85546875" customWidth="1"/>
    <col min="4" max="4" width="69.5703125" customWidth="1"/>
    <col min="5" max="5" width="11.85546875" customWidth="1"/>
    <col min="6" max="6" width="14.28515625" bestFit="1" customWidth="1"/>
    <col min="7" max="7" width="17.5703125" customWidth="1"/>
  </cols>
  <sheetData>
    <row r="1" spans="2:10" x14ac:dyDescent="0.25">
      <c r="B1" s="64"/>
      <c r="C1" s="65"/>
      <c r="D1" s="65"/>
      <c r="E1" s="1"/>
      <c r="F1" s="1"/>
      <c r="G1" s="2"/>
    </row>
    <row r="2" spans="2:10" x14ac:dyDescent="0.25">
      <c r="B2" s="66"/>
      <c r="C2" s="67"/>
      <c r="D2" s="67"/>
      <c r="E2" s="3"/>
      <c r="F2" s="3"/>
      <c r="G2" s="4"/>
    </row>
    <row r="3" spans="2:10" ht="15.75" x14ac:dyDescent="0.25">
      <c r="B3" s="5"/>
      <c r="C3" s="6"/>
      <c r="D3" s="6"/>
      <c r="E3" s="7"/>
      <c r="F3" s="7"/>
      <c r="G3" s="8"/>
    </row>
    <row r="4" spans="2:10" ht="15.75" x14ac:dyDescent="0.25">
      <c r="B4" s="5"/>
      <c r="C4" s="6"/>
      <c r="D4" s="6"/>
      <c r="E4" s="7"/>
      <c r="F4" s="7"/>
      <c r="G4" s="8"/>
    </row>
    <row r="5" spans="2:10" ht="15.75" x14ac:dyDescent="0.25">
      <c r="B5" s="5"/>
      <c r="C5" s="6"/>
      <c r="D5" s="6"/>
      <c r="E5" s="7"/>
      <c r="F5" s="7"/>
      <c r="G5" s="8"/>
    </row>
    <row r="6" spans="2:10" ht="15.75" x14ac:dyDescent="0.25">
      <c r="B6" s="5"/>
      <c r="C6" s="6"/>
      <c r="D6" s="6"/>
      <c r="E6" s="7"/>
      <c r="F6" s="7"/>
      <c r="G6" s="8"/>
    </row>
    <row r="7" spans="2:10" ht="16.5" thickBot="1" x14ac:dyDescent="0.3">
      <c r="B7" s="5"/>
      <c r="C7" s="6"/>
      <c r="D7" s="6"/>
      <c r="E7" s="7"/>
      <c r="F7" s="7"/>
      <c r="G7" s="8"/>
    </row>
    <row r="8" spans="2:10" x14ac:dyDescent="0.25">
      <c r="B8" s="82" t="s">
        <v>0</v>
      </c>
      <c r="C8" s="83"/>
      <c r="D8" s="83"/>
      <c r="E8" s="83"/>
      <c r="F8" s="83"/>
      <c r="G8" s="84"/>
    </row>
    <row r="9" spans="2:10" ht="15.75" thickBot="1" x14ac:dyDescent="0.3">
      <c r="B9" s="71"/>
      <c r="C9" s="72"/>
      <c r="D9" s="72"/>
      <c r="E9" s="72"/>
      <c r="F9" s="72"/>
      <c r="G9" s="73"/>
    </row>
    <row r="10" spans="2:10" ht="15.75" x14ac:dyDescent="0.25">
      <c r="B10" s="9"/>
      <c r="C10" s="10"/>
      <c r="D10" s="10"/>
      <c r="E10" s="10"/>
      <c r="F10" s="10"/>
      <c r="G10" s="11"/>
    </row>
    <row r="11" spans="2:10" ht="15.75" x14ac:dyDescent="0.25">
      <c r="B11" s="12" t="s">
        <v>1</v>
      </c>
      <c r="C11" s="13" t="s">
        <v>2</v>
      </c>
      <c r="D11" s="7" t="s">
        <v>18</v>
      </c>
      <c r="E11" s="7"/>
      <c r="F11" s="7" t="s">
        <v>3</v>
      </c>
      <c r="G11" s="14"/>
    </row>
    <row r="12" spans="2:10" ht="16.5" thickBot="1" x14ac:dyDescent="0.3">
      <c r="B12" s="15"/>
      <c r="C12" s="16"/>
      <c r="D12" s="16" t="s">
        <v>4</v>
      </c>
      <c r="E12" s="16"/>
      <c r="F12" s="16"/>
      <c r="G12" s="17"/>
    </row>
    <row r="13" spans="2:10" ht="16.5" thickBot="1" x14ac:dyDescent="0.3">
      <c r="B13" s="18"/>
      <c r="C13" s="19"/>
      <c r="D13" s="19"/>
      <c r="E13" s="19"/>
      <c r="F13" s="19"/>
      <c r="G13" s="20"/>
    </row>
    <row r="14" spans="2:10" ht="16.5" thickBot="1" x14ac:dyDescent="0.3">
      <c r="B14" s="21" t="s">
        <v>5</v>
      </c>
      <c r="C14" s="22" t="s">
        <v>6</v>
      </c>
      <c r="D14" s="23" t="s">
        <v>7</v>
      </c>
      <c r="E14" s="22" t="s">
        <v>8</v>
      </c>
      <c r="F14" s="24" t="s">
        <v>9</v>
      </c>
      <c r="G14" s="25" t="s">
        <v>10</v>
      </c>
    </row>
    <row r="15" spans="2:10" ht="15.75" x14ac:dyDescent="0.25">
      <c r="B15" s="26">
        <v>1</v>
      </c>
      <c r="C15" s="27" t="s">
        <v>45</v>
      </c>
      <c r="D15" s="43" t="s">
        <v>37</v>
      </c>
      <c r="E15" s="35">
        <v>1800</v>
      </c>
      <c r="F15" s="28">
        <v>72</v>
      </c>
      <c r="G15" s="29">
        <f>+F15*E15</f>
        <v>129600</v>
      </c>
      <c r="I15" s="30"/>
      <c r="J15" s="30"/>
    </row>
    <row r="16" spans="2:10" ht="15.75" x14ac:dyDescent="0.25">
      <c r="B16" s="26"/>
      <c r="C16" s="27"/>
      <c r="D16" s="44" t="s">
        <v>38</v>
      </c>
      <c r="E16" s="27"/>
      <c r="F16" s="28"/>
      <c r="G16" s="29"/>
      <c r="I16" s="30"/>
      <c r="J16" s="30"/>
    </row>
    <row r="17" spans="2:10" ht="15.75" x14ac:dyDescent="0.25">
      <c r="B17" s="26"/>
      <c r="C17" s="27"/>
      <c r="D17" s="44" t="s">
        <v>39</v>
      </c>
      <c r="E17" s="27"/>
      <c r="F17" s="28"/>
      <c r="G17" s="29"/>
      <c r="I17" s="30"/>
      <c r="J17" s="30"/>
    </row>
    <row r="18" spans="2:10" ht="15.75" x14ac:dyDescent="0.25">
      <c r="B18" s="26"/>
      <c r="C18" s="27"/>
      <c r="D18" s="44" t="s">
        <v>40</v>
      </c>
      <c r="E18" s="27"/>
      <c r="F18" s="28"/>
      <c r="G18" s="29"/>
      <c r="I18" s="30"/>
      <c r="J18" s="30"/>
    </row>
    <row r="19" spans="2:10" ht="15.75" x14ac:dyDescent="0.25">
      <c r="B19" s="26"/>
      <c r="C19" s="27"/>
      <c r="D19" s="44" t="s">
        <v>41</v>
      </c>
      <c r="E19" s="27"/>
      <c r="F19" s="28"/>
      <c r="G19" s="29"/>
      <c r="I19" s="30"/>
      <c r="J19" s="30"/>
    </row>
    <row r="20" spans="2:10" ht="15.75" x14ac:dyDescent="0.25">
      <c r="B20" s="26"/>
      <c r="C20" s="27"/>
      <c r="D20" s="45" t="s">
        <v>42</v>
      </c>
      <c r="E20" s="27"/>
      <c r="F20" s="28"/>
      <c r="G20" s="29"/>
      <c r="I20" s="30"/>
      <c r="J20" s="30"/>
    </row>
    <row r="21" spans="2:10" ht="15.75" x14ac:dyDescent="0.25">
      <c r="B21" s="26"/>
      <c r="C21" s="27"/>
      <c r="D21" s="44" t="s">
        <v>43</v>
      </c>
      <c r="E21" s="27"/>
      <c r="F21" s="28"/>
      <c r="G21" s="29"/>
      <c r="I21" s="30"/>
      <c r="J21" s="30"/>
    </row>
    <row r="22" spans="2:10" ht="15.75" x14ac:dyDescent="0.25">
      <c r="B22" s="26"/>
      <c r="C22" s="27"/>
      <c r="D22" s="44" t="s">
        <v>44</v>
      </c>
      <c r="E22" s="27"/>
      <c r="F22" s="28"/>
      <c r="G22" s="29"/>
      <c r="I22" s="30"/>
      <c r="J22" s="30"/>
    </row>
    <row r="23" spans="2:10" ht="15.75" x14ac:dyDescent="0.25">
      <c r="B23" s="26"/>
      <c r="C23" s="27"/>
      <c r="D23" s="31"/>
      <c r="E23" s="33"/>
      <c r="F23" s="28"/>
      <c r="G23" s="29"/>
      <c r="I23" s="30"/>
      <c r="J23" s="30"/>
    </row>
    <row r="24" spans="2:10" ht="15.75" x14ac:dyDescent="0.25">
      <c r="B24" s="26"/>
      <c r="C24" s="27"/>
      <c r="D24" s="34"/>
      <c r="E24" s="33"/>
      <c r="F24" s="28"/>
      <c r="G24" s="29"/>
      <c r="I24" s="30"/>
      <c r="J24" s="30"/>
    </row>
    <row r="25" spans="2:10" ht="15.75" x14ac:dyDescent="0.25">
      <c r="B25" s="26"/>
      <c r="C25" s="27"/>
      <c r="D25" s="31"/>
      <c r="E25" s="33"/>
      <c r="F25" s="28"/>
      <c r="G25" s="29"/>
      <c r="I25" s="30"/>
      <c r="J25" s="30"/>
    </row>
    <row r="26" spans="2:10" ht="15.75" x14ac:dyDescent="0.25">
      <c r="B26" s="26"/>
      <c r="C26" s="27"/>
      <c r="D26" s="31"/>
      <c r="E26" s="33"/>
      <c r="F26" s="28"/>
      <c r="G26" s="29"/>
      <c r="I26" s="30"/>
      <c r="J26" s="30"/>
    </row>
    <row r="27" spans="2:10" ht="15.75" x14ac:dyDescent="0.25">
      <c r="B27" s="26"/>
      <c r="C27" s="27"/>
      <c r="D27" s="31"/>
      <c r="E27" s="33"/>
      <c r="F27" s="28"/>
      <c r="G27" s="29"/>
      <c r="I27" s="30"/>
      <c r="J27" s="30"/>
    </row>
    <row r="28" spans="2:10" ht="15.75" x14ac:dyDescent="0.25">
      <c r="B28" s="26"/>
      <c r="C28" s="27"/>
      <c r="D28" s="31"/>
      <c r="E28" s="33"/>
      <c r="F28" s="28"/>
      <c r="G28" s="29"/>
      <c r="I28" s="30"/>
      <c r="J28" s="30"/>
    </row>
    <row r="29" spans="2:10" ht="15.75" x14ac:dyDescent="0.25">
      <c r="B29" s="26"/>
      <c r="C29" s="27"/>
      <c r="D29" s="31"/>
      <c r="E29" s="27"/>
      <c r="F29" s="28"/>
      <c r="G29" s="35"/>
      <c r="I29" s="30"/>
      <c r="J29" s="30"/>
    </row>
    <row r="30" spans="2:10" ht="16.5" thickBot="1" x14ac:dyDescent="0.3">
      <c r="B30" s="36"/>
      <c r="C30" s="36"/>
      <c r="D30" s="37"/>
      <c r="E30" s="74" t="s">
        <v>11</v>
      </c>
      <c r="F30" s="73"/>
      <c r="G30" s="38">
        <f>SUM(G15:G29)</f>
        <v>129600</v>
      </c>
    </row>
    <row r="31" spans="2:10" ht="14.45" customHeight="1" x14ac:dyDescent="0.25">
      <c r="B31" s="75" t="s">
        <v>46</v>
      </c>
      <c r="C31" s="76"/>
      <c r="D31" s="76"/>
      <c r="E31" s="76"/>
      <c r="F31" s="76"/>
      <c r="G31" s="77"/>
    </row>
    <row r="32" spans="2:10" ht="15" customHeight="1" thickBot="1" x14ac:dyDescent="0.3">
      <c r="B32" s="78"/>
      <c r="C32" s="79"/>
      <c r="D32" s="79"/>
      <c r="E32" s="79"/>
      <c r="F32" s="79"/>
      <c r="G32" s="80"/>
    </row>
    <row r="33" spans="2:7" ht="15.75" x14ac:dyDescent="0.25">
      <c r="B33" s="9"/>
      <c r="C33" s="10"/>
      <c r="D33" s="39" t="s">
        <v>12</v>
      </c>
      <c r="E33" s="81" t="s">
        <v>13</v>
      </c>
      <c r="F33" s="81"/>
      <c r="G33" s="11"/>
    </row>
    <row r="34" spans="2:7" ht="15.75" x14ac:dyDescent="0.25">
      <c r="B34" s="18"/>
      <c r="C34" s="19"/>
      <c r="D34" s="40"/>
      <c r="E34" s="40"/>
      <c r="F34" s="40"/>
      <c r="G34" s="8"/>
    </row>
    <row r="35" spans="2:7" ht="15.75" x14ac:dyDescent="0.25">
      <c r="B35" s="18"/>
      <c r="C35" s="19"/>
      <c r="D35" s="19"/>
      <c r="E35" s="19"/>
      <c r="F35" s="19"/>
      <c r="G35" s="8"/>
    </row>
    <row r="36" spans="2:7" ht="15.75" x14ac:dyDescent="0.25">
      <c r="B36" s="18" t="s">
        <v>14</v>
      </c>
      <c r="C36" s="19"/>
      <c r="D36" s="41" t="s">
        <v>15</v>
      </c>
      <c r="E36" s="60" t="s">
        <v>16</v>
      </c>
      <c r="F36" s="60"/>
      <c r="G36" s="61"/>
    </row>
    <row r="37" spans="2:7" ht="16.5" thickBot="1" x14ac:dyDescent="0.3">
      <c r="B37" s="15" t="s">
        <v>17</v>
      </c>
      <c r="C37" s="16"/>
      <c r="D37" s="42" t="s">
        <v>35</v>
      </c>
      <c r="E37" s="62" t="s">
        <v>23</v>
      </c>
      <c r="F37" s="62"/>
      <c r="G37" s="63"/>
    </row>
  </sheetData>
  <mergeCells count="8">
    <mergeCell ref="E36:G36"/>
    <mergeCell ref="E37:G37"/>
    <mergeCell ref="B1:D1"/>
    <mergeCell ref="B2:D2"/>
    <mergeCell ref="B8:G9"/>
    <mergeCell ref="E30:F30"/>
    <mergeCell ref="B31:G32"/>
    <mergeCell ref="E33:F33"/>
  </mergeCells>
  <pageMargins left="0" right="0" top="0" bottom="0" header="0" footer="0"/>
  <pageSetup paperSize="9" scale="73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CCAA-7C2B-4944-A2D3-0AB4EE267294}">
  <dimension ref="B1:J63"/>
  <sheetViews>
    <sheetView view="pageBreakPreview" topLeftCell="A19" zoomScale="60" zoomScaleNormal="100" workbookViewId="0">
      <selection activeCell="D17" sqref="D17"/>
    </sheetView>
  </sheetViews>
  <sheetFormatPr defaultRowHeight="15" x14ac:dyDescent="0.25"/>
  <cols>
    <col min="1" max="1" width="1.140625" customWidth="1"/>
    <col min="2" max="2" width="13.28515625" customWidth="1"/>
    <col min="3" max="3" width="11.85546875" customWidth="1"/>
    <col min="4" max="4" width="73.5703125" bestFit="1" customWidth="1"/>
    <col min="5" max="5" width="11.85546875" customWidth="1"/>
    <col min="6" max="6" width="12.5703125" bestFit="1" customWidth="1"/>
    <col min="7" max="7" width="17.5703125" customWidth="1"/>
  </cols>
  <sheetData>
    <row r="1" spans="2:10" x14ac:dyDescent="0.25">
      <c r="B1" s="64"/>
      <c r="C1" s="65"/>
      <c r="D1" s="65"/>
      <c r="E1" s="1"/>
      <c r="F1" s="1"/>
      <c r="G1" s="2"/>
    </row>
    <row r="2" spans="2:10" x14ac:dyDescent="0.25">
      <c r="B2" s="66"/>
      <c r="C2" s="67"/>
      <c r="D2" s="67"/>
      <c r="E2" s="3"/>
      <c r="F2" s="3"/>
      <c r="G2" s="4"/>
    </row>
    <row r="3" spans="2:10" ht="15.75" x14ac:dyDescent="0.25">
      <c r="B3" s="5"/>
      <c r="C3" s="6"/>
      <c r="D3" s="6"/>
      <c r="E3" s="7"/>
      <c r="F3" s="7"/>
      <c r="G3" s="8"/>
    </row>
    <row r="4" spans="2:10" ht="15.75" x14ac:dyDescent="0.25">
      <c r="B4" s="5"/>
      <c r="C4" s="6"/>
      <c r="D4" s="6"/>
      <c r="E4" s="7"/>
      <c r="F4" s="7"/>
      <c r="G4" s="8"/>
    </row>
    <row r="5" spans="2:10" ht="15.75" x14ac:dyDescent="0.25">
      <c r="B5" s="5"/>
      <c r="C5" s="6"/>
      <c r="D5" s="6"/>
      <c r="E5" s="7"/>
      <c r="F5" s="7"/>
      <c r="G5" s="8"/>
    </row>
    <row r="6" spans="2:10" ht="15.75" x14ac:dyDescent="0.25">
      <c r="B6" s="5"/>
      <c r="C6" s="6"/>
      <c r="D6" s="6"/>
      <c r="E6" s="7"/>
      <c r="F6" s="7"/>
      <c r="G6" s="8"/>
    </row>
    <row r="7" spans="2:10" ht="16.5" thickBot="1" x14ac:dyDescent="0.3">
      <c r="B7" s="5"/>
      <c r="C7" s="6"/>
      <c r="D7" s="6"/>
      <c r="E7" s="7"/>
      <c r="F7" s="7"/>
      <c r="G7" s="8"/>
    </row>
    <row r="8" spans="2:10" x14ac:dyDescent="0.25">
      <c r="B8" s="82" t="s">
        <v>0</v>
      </c>
      <c r="C8" s="83"/>
      <c r="D8" s="83"/>
      <c r="E8" s="83"/>
      <c r="F8" s="83"/>
      <c r="G8" s="84"/>
    </row>
    <row r="9" spans="2:10" ht="15.75" thickBot="1" x14ac:dyDescent="0.3">
      <c r="B9" s="71"/>
      <c r="C9" s="72"/>
      <c r="D9" s="72"/>
      <c r="E9" s="72"/>
      <c r="F9" s="72"/>
      <c r="G9" s="73"/>
    </row>
    <row r="10" spans="2:10" ht="15.75" x14ac:dyDescent="0.25">
      <c r="B10" s="9"/>
      <c r="C10" s="10"/>
      <c r="D10" s="10"/>
      <c r="E10" s="10"/>
      <c r="F10" s="10"/>
      <c r="G10" s="11"/>
    </row>
    <row r="11" spans="2:10" ht="15.75" x14ac:dyDescent="0.25">
      <c r="B11" s="12" t="s">
        <v>1</v>
      </c>
      <c r="C11" s="13" t="s">
        <v>2</v>
      </c>
      <c r="D11" s="7" t="s">
        <v>18</v>
      </c>
      <c r="E11" s="7"/>
      <c r="F11" s="7" t="s">
        <v>3</v>
      </c>
      <c r="G11" s="14"/>
    </row>
    <row r="12" spans="2:10" ht="16.5" thickBot="1" x14ac:dyDescent="0.3">
      <c r="B12" s="15"/>
      <c r="C12" s="16"/>
      <c r="D12" s="16" t="s">
        <v>4</v>
      </c>
      <c r="E12" s="16"/>
      <c r="F12" s="16"/>
      <c r="G12" s="17"/>
    </row>
    <row r="13" spans="2:10" ht="16.5" thickBot="1" x14ac:dyDescent="0.3">
      <c r="B13" s="18"/>
      <c r="C13" s="19"/>
      <c r="D13" s="19"/>
      <c r="E13" s="19"/>
      <c r="F13" s="19"/>
      <c r="G13" s="20"/>
    </row>
    <row r="14" spans="2:10" ht="16.5" thickBot="1" x14ac:dyDescent="0.3">
      <c r="B14" s="21" t="s">
        <v>5</v>
      </c>
      <c r="C14" s="22" t="s">
        <v>6</v>
      </c>
      <c r="D14" s="23" t="s">
        <v>7</v>
      </c>
      <c r="E14" s="22" t="s">
        <v>8</v>
      </c>
      <c r="F14" s="24" t="s">
        <v>9</v>
      </c>
      <c r="G14" s="25" t="s">
        <v>10</v>
      </c>
    </row>
    <row r="15" spans="2:10" ht="15.75" x14ac:dyDescent="0.25">
      <c r="B15" s="26">
        <v>1</v>
      </c>
      <c r="C15" s="27" t="s">
        <v>6</v>
      </c>
      <c r="D15" s="49" t="s">
        <v>69</v>
      </c>
      <c r="E15" s="27">
        <v>1</v>
      </c>
      <c r="F15" s="28">
        <v>37000</v>
      </c>
      <c r="G15" s="29">
        <f>+F15*E15</f>
        <v>37000</v>
      </c>
      <c r="I15" s="30"/>
      <c r="J15" s="30"/>
    </row>
    <row r="16" spans="2:10" ht="15.75" x14ac:dyDescent="0.25">
      <c r="B16" s="26"/>
      <c r="C16" s="27"/>
      <c r="D16" s="31" t="s">
        <v>65</v>
      </c>
      <c r="E16" s="27"/>
      <c r="F16" s="28"/>
      <c r="G16" s="29"/>
      <c r="I16" s="30"/>
      <c r="J16" s="30"/>
    </row>
    <row r="17" spans="2:10" ht="15.75" x14ac:dyDescent="0.25">
      <c r="B17" s="26"/>
      <c r="C17" s="27"/>
      <c r="D17" s="31" t="s">
        <v>70</v>
      </c>
      <c r="E17" s="27"/>
      <c r="F17" s="28"/>
      <c r="G17" s="29"/>
      <c r="I17" s="30"/>
      <c r="J17" s="30"/>
    </row>
    <row r="18" spans="2:10" ht="15.75" x14ac:dyDescent="0.25">
      <c r="B18" s="26"/>
      <c r="C18" s="27"/>
      <c r="D18" s="31" t="s">
        <v>71</v>
      </c>
      <c r="E18" s="27"/>
      <c r="F18" s="28"/>
      <c r="G18" s="29"/>
      <c r="I18" s="30"/>
      <c r="J18" s="30"/>
    </row>
    <row r="19" spans="2:10" ht="15.75" x14ac:dyDescent="0.25">
      <c r="B19" s="26"/>
      <c r="C19" s="27"/>
      <c r="D19" s="31" t="s">
        <v>72</v>
      </c>
      <c r="E19" s="27"/>
      <c r="F19" s="28"/>
      <c r="G19" s="29"/>
      <c r="I19" s="30"/>
      <c r="J19" s="30"/>
    </row>
    <row r="20" spans="2:10" ht="15.75" x14ac:dyDescent="0.25">
      <c r="B20" s="26"/>
      <c r="C20" s="27"/>
      <c r="D20" s="31" t="s">
        <v>73</v>
      </c>
      <c r="E20" s="27"/>
      <c r="F20" s="28"/>
      <c r="G20" s="29"/>
      <c r="I20" s="30"/>
      <c r="J20" s="30"/>
    </row>
    <row r="21" spans="2:10" ht="15.75" x14ac:dyDescent="0.25">
      <c r="B21" s="26"/>
      <c r="C21" s="27"/>
      <c r="D21" s="31" t="s">
        <v>74</v>
      </c>
      <c r="E21" s="27"/>
      <c r="F21" s="28"/>
      <c r="G21" s="29"/>
      <c r="I21" s="30"/>
      <c r="J21" s="30"/>
    </row>
    <row r="22" spans="2:10" ht="15.75" x14ac:dyDescent="0.25">
      <c r="B22" s="26"/>
      <c r="C22" s="27"/>
      <c r="D22" s="31" t="s">
        <v>75</v>
      </c>
      <c r="E22" s="27"/>
      <c r="F22" s="28"/>
      <c r="G22" s="29"/>
      <c r="I22" s="30"/>
      <c r="J22" s="30"/>
    </row>
    <row r="23" spans="2:10" ht="15.75" x14ac:dyDescent="0.25">
      <c r="B23" s="26"/>
      <c r="C23" s="27"/>
      <c r="D23" s="31" t="s">
        <v>76</v>
      </c>
      <c r="E23" s="33"/>
      <c r="F23" s="28"/>
      <c r="G23" s="29"/>
      <c r="I23" s="30"/>
      <c r="J23" s="30"/>
    </row>
    <row r="24" spans="2:10" ht="15.75" x14ac:dyDescent="0.25">
      <c r="B24" s="26"/>
      <c r="C24" s="27"/>
      <c r="D24" s="34" t="s">
        <v>77</v>
      </c>
      <c r="E24" s="33"/>
      <c r="F24" s="28"/>
      <c r="G24" s="29"/>
      <c r="I24" s="30"/>
      <c r="J24" s="30"/>
    </row>
    <row r="25" spans="2:10" ht="15.75" x14ac:dyDescent="0.25">
      <c r="B25" s="26"/>
      <c r="C25" s="27"/>
      <c r="D25" s="31" t="s">
        <v>78</v>
      </c>
      <c r="E25" s="33"/>
      <c r="F25" s="28"/>
      <c r="G25" s="29"/>
      <c r="I25" s="30"/>
      <c r="J25" s="30"/>
    </row>
    <row r="26" spans="2:10" ht="15.75" x14ac:dyDescent="0.25">
      <c r="B26" s="26">
        <v>2</v>
      </c>
      <c r="C26" s="27" t="s">
        <v>6</v>
      </c>
      <c r="D26" s="49" t="s">
        <v>69</v>
      </c>
      <c r="E26" s="33">
        <v>1</v>
      </c>
      <c r="F26" s="28">
        <v>17000</v>
      </c>
      <c r="G26" s="29">
        <f>+F26*E26</f>
        <v>17000</v>
      </c>
      <c r="I26" s="30"/>
      <c r="J26" s="30"/>
    </row>
    <row r="27" spans="2:10" ht="15.75" x14ac:dyDescent="0.25">
      <c r="B27" s="26"/>
      <c r="C27" s="27"/>
      <c r="D27" s="31" t="s">
        <v>65</v>
      </c>
      <c r="E27" s="33"/>
      <c r="F27" s="28"/>
      <c r="G27" s="29"/>
      <c r="I27" s="30"/>
      <c r="J27" s="30"/>
    </row>
    <row r="28" spans="2:10" ht="15.75" x14ac:dyDescent="0.25">
      <c r="B28" s="26"/>
      <c r="C28" s="27"/>
      <c r="D28" s="31" t="s">
        <v>79</v>
      </c>
      <c r="E28" s="33"/>
      <c r="F28" s="28"/>
      <c r="G28" s="29"/>
      <c r="I28" s="30"/>
      <c r="J28" s="30"/>
    </row>
    <row r="29" spans="2:10" ht="15.75" x14ac:dyDescent="0.25">
      <c r="B29" s="26"/>
      <c r="C29" s="27"/>
      <c r="D29" s="31" t="s">
        <v>80</v>
      </c>
      <c r="E29" s="33"/>
      <c r="F29" s="28"/>
      <c r="G29" s="29"/>
      <c r="I29" s="30"/>
      <c r="J29" s="30"/>
    </row>
    <row r="30" spans="2:10" ht="15.75" x14ac:dyDescent="0.25">
      <c r="B30" s="26"/>
      <c r="C30" s="27"/>
      <c r="D30" s="31" t="s">
        <v>81</v>
      </c>
      <c r="E30" s="33"/>
      <c r="F30" s="28"/>
      <c r="G30" s="29"/>
      <c r="I30" s="30"/>
      <c r="J30" s="30"/>
    </row>
    <row r="31" spans="2:10" ht="15.75" x14ac:dyDescent="0.25">
      <c r="B31" s="26"/>
      <c r="C31" s="27"/>
      <c r="D31" s="31" t="s">
        <v>82</v>
      </c>
      <c r="E31" s="33"/>
      <c r="F31" s="28"/>
      <c r="G31" s="29"/>
      <c r="I31" s="30"/>
      <c r="J31" s="30"/>
    </row>
    <row r="32" spans="2:10" ht="15.75" x14ac:dyDescent="0.25">
      <c r="B32" s="26"/>
      <c r="C32" s="27"/>
      <c r="D32" s="31" t="s">
        <v>83</v>
      </c>
      <c r="E32" s="33"/>
      <c r="F32" s="28"/>
      <c r="G32" s="29"/>
      <c r="I32" s="30"/>
      <c r="J32" s="30"/>
    </row>
    <row r="33" spans="2:10" ht="15.75" x14ac:dyDescent="0.25">
      <c r="B33" s="26"/>
      <c r="C33" s="27"/>
      <c r="D33" s="31" t="s">
        <v>84</v>
      </c>
      <c r="E33" s="33"/>
      <c r="F33" s="28"/>
      <c r="G33" s="29"/>
      <c r="I33" s="30"/>
      <c r="J33" s="30"/>
    </row>
    <row r="34" spans="2:10" ht="15.75" x14ac:dyDescent="0.25">
      <c r="B34" s="26"/>
      <c r="C34" s="27"/>
      <c r="D34" s="31" t="s">
        <v>78</v>
      </c>
      <c r="E34" s="33"/>
      <c r="F34" s="28"/>
      <c r="G34" s="29"/>
      <c r="I34" s="30"/>
      <c r="J34" s="30"/>
    </row>
    <row r="35" spans="2:10" ht="15.75" x14ac:dyDescent="0.25">
      <c r="B35" s="26">
        <v>3</v>
      </c>
      <c r="C35" s="27" t="s">
        <v>6</v>
      </c>
      <c r="D35" s="49" t="s">
        <v>85</v>
      </c>
      <c r="E35" s="33">
        <v>2</v>
      </c>
      <c r="F35" s="28">
        <v>25000</v>
      </c>
      <c r="G35" s="29">
        <f>+F35*E35</f>
        <v>50000</v>
      </c>
      <c r="I35" s="30"/>
      <c r="J35" s="30"/>
    </row>
    <row r="36" spans="2:10" ht="15.75" x14ac:dyDescent="0.25">
      <c r="B36" s="26"/>
      <c r="C36" s="27"/>
      <c r="D36" s="31" t="s">
        <v>65</v>
      </c>
      <c r="E36" s="33"/>
      <c r="F36" s="28"/>
      <c r="G36" s="29"/>
      <c r="I36" s="30"/>
      <c r="J36" s="30"/>
    </row>
    <row r="37" spans="2:10" ht="15.75" x14ac:dyDescent="0.25">
      <c r="B37" s="26"/>
      <c r="C37" s="27"/>
      <c r="D37" s="31" t="s">
        <v>86</v>
      </c>
      <c r="E37" s="33"/>
      <c r="F37" s="28"/>
      <c r="G37" s="29"/>
      <c r="I37" s="30"/>
      <c r="J37" s="30"/>
    </row>
    <row r="38" spans="2:10" ht="15.75" x14ac:dyDescent="0.25">
      <c r="B38" s="26"/>
      <c r="C38" s="27"/>
      <c r="D38" s="31" t="s">
        <v>87</v>
      </c>
      <c r="E38" s="33"/>
      <c r="F38" s="28"/>
      <c r="G38" s="29"/>
      <c r="I38" s="30"/>
      <c r="J38" s="30"/>
    </row>
    <row r="39" spans="2:10" ht="15.75" x14ac:dyDescent="0.25">
      <c r="B39" s="26"/>
      <c r="C39" s="27"/>
      <c r="D39" s="31" t="s">
        <v>88</v>
      </c>
      <c r="E39" s="33"/>
      <c r="F39" s="28"/>
      <c r="G39" s="29"/>
      <c r="I39" s="30"/>
      <c r="J39" s="30"/>
    </row>
    <row r="40" spans="2:10" ht="15.75" x14ac:dyDescent="0.25">
      <c r="B40" s="26"/>
      <c r="C40" s="27"/>
      <c r="D40" s="31" t="s">
        <v>89</v>
      </c>
      <c r="E40" s="33"/>
      <c r="F40" s="28"/>
      <c r="G40" s="29"/>
      <c r="I40" s="30"/>
      <c r="J40" s="30"/>
    </row>
    <row r="41" spans="2:10" ht="15.75" x14ac:dyDescent="0.25">
      <c r="B41" s="26"/>
      <c r="C41" s="27"/>
      <c r="D41" s="31" t="s">
        <v>90</v>
      </c>
      <c r="E41" s="33"/>
      <c r="F41" s="28"/>
      <c r="G41" s="29"/>
      <c r="I41" s="30"/>
      <c r="J41" s="30"/>
    </row>
    <row r="42" spans="2:10" ht="15.75" x14ac:dyDescent="0.25">
      <c r="B42" s="26"/>
      <c r="C42" s="27"/>
      <c r="D42" s="31" t="s">
        <v>91</v>
      </c>
      <c r="E42" s="33"/>
      <c r="F42" s="28"/>
      <c r="G42" s="29"/>
      <c r="I42" s="30"/>
      <c r="J42" s="30"/>
    </row>
    <row r="43" spans="2:10" ht="15.75" x14ac:dyDescent="0.25">
      <c r="B43" s="26"/>
      <c r="C43" s="27"/>
      <c r="D43" s="31" t="s">
        <v>92</v>
      </c>
      <c r="E43" s="33"/>
      <c r="F43" s="28"/>
      <c r="G43" s="29"/>
      <c r="I43" s="30"/>
      <c r="J43" s="30"/>
    </row>
    <row r="44" spans="2:10" ht="15.75" x14ac:dyDescent="0.25">
      <c r="B44" s="26"/>
      <c r="C44" s="27"/>
      <c r="D44" s="31" t="s">
        <v>93</v>
      </c>
      <c r="E44" s="33"/>
      <c r="F44" s="28"/>
      <c r="G44" s="29"/>
      <c r="I44" s="30"/>
      <c r="J44" s="30"/>
    </row>
    <row r="45" spans="2:10" ht="15.75" x14ac:dyDescent="0.25">
      <c r="B45" s="26"/>
      <c r="C45" s="27"/>
      <c r="D45" s="31" t="s">
        <v>78</v>
      </c>
      <c r="E45" s="33"/>
      <c r="F45" s="28"/>
      <c r="G45" s="29"/>
      <c r="I45" s="30"/>
      <c r="J45" s="30"/>
    </row>
    <row r="46" spans="2:10" ht="15.75" x14ac:dyDescent="0.25">
      <c r="B46" s="26">
        <v>4</v>
      </c>
      <c r="C46" s="27" t="s">
        <v>6</v>
      </c>
      <c r="D46" s="49" t="s">
        <v>94</v>
      </c>
      <c r="E46" s="33">
        <v>2</v>
      </c>
      <c r="F46" s="28">
        <v>25000</v>
      </c>
      <c r="G46" s="29">
        <f>+F46*E46</f>
        <v>50000</v>
      </c>
      <c r="I46" s="30"/>
      <c r="J46" s="30"/>
    </row>
    <row r="47" spans="2:10" ht="15.75" x14ac:dyDescent="0.25">
      <c r="B47" s="26"/>
      <c r="C47" s="27"/>
      <c r="D47" s="31" t="s">
        <v>65</v>
      </c>
      <c r="E47" s="33"/>
      <c r="F47" s="28"/>
      <c r="G47" s="29"/>
      <c r="I47" s="30"/>
      <c r="J47" s="30"/>
    </row>
    <row r="48" spans="2:10" ht="15.75" x14ac:dyDescent="0.25">
      <c r="B48" s="26"/>
      <c r="C48" s="27"/>
      <c r="D48" s="31" t="s">
        <v>95</v>
      </c>
      <c r="E48" s="33"/>
      <c r="F48" s="28"/>
      <c r="G48" s="29"/>
      <c r="I48" s="30"/>
      <c r="J48" s="30"/>
    </row>
    <row r="49" spans="2:10" ht="15.75" x14ac:dyDescent="0.25">
      <c r="B49" s="26"/>
      <c r="C49" s="27"/>
      <c r="D49" s="31" t="s">
        <v>96</v>
      </c>
      <c r="E49" s="33"/>
      <c r="F49" s="28"/>
      <c r="G49" s="29"/>
      <c r="I49" s="30"/>
      <c r="J49" s="30"/>
    </row>
    <row r="50" spans="2:10" ht="15.75" x14ac:dyDescent="0.25">
      <c r="B50" s="26"/>
      <c r="C50" s="27"/>
      <c r="D50" s="31" t="s">
        <v>97</v>
      </c>
      <c r="E50" s="33"/>
      <c r="F50" s="28"/>
      <c r="G50" s="29"/>
      <c r="I50" s="30"/>
      <c r="J50" s="30"/>
    </row>
    <row r="51" spans="2:10" ht="15.75" x14ac:dyDescent="0.25">
      <c r="B51" s="26"/>
      <c r="C51" s="27"/>
      <c r="D51" s="31" t="s">
        <v>98</v>
      </c>
      <c r="E51" s="33"/>
      <c r="F51" s="28"/>
      <c r="G51" s="29"/>
      <c r="I51" s="30"/>
      <c r="J51" s="30"/>
    </row>
    <row r="52" spans="2:10" ht="15.75" x14ac:dyDescent="0.25">
      <c r="B52" s="26"/>
      <c r="C52" s="27"/>
      <c r="D52" s="31" t="s">
        <v>99</v>
      </c>
      <c r="E52" s="33"/>
      <c r="F52" s="28"/>
      <c r="G52" s="29"/>
      <c r="I52" s="30"/>
      <c r="J52" s="30"/>
    </row>
    <row r="53" spans="2:10" ht="15.75" x14ac:dyDescent="0.25">
      <c r="B53" s="26"/>
      <c r="C53" s="27"/>
      <c r="D53" s="31" t="s">
        <v>100</v>
      </c>
      <c r="E53" s="33"/>
      <c r="F53" s="28"/>
      <c r="G53" s="29"/>
      <c r="I53" s="30"/>
      <c r="J53" s="30"/>
    </row>
    <row r="54" spans="2:10" ht="15.75" x14ac:dyDescent="0.25">
      <c r="B54" s="26"/>
      <c r="C54" s="27"/>
      <c r="D54" s="31" t="s">
        <v>101</v>
      </c>
      <c r="E54" s="33"/>
      <c r="F54" s="28"/>
      <c r="G54" s="29"/>
      <c r="I54" s="30"/>
      <c r="J54" s="30"/>
    </row>
    <row r="55" spans="2:10" ht="16.5" thickBot="1" x14ac:dyDescent="0.3">
      <c r="B55" s="26"/>
      <c r="C55" s="27"/>
      <c r="D55" s="31"/>
      <c r="E55" s="33"/>
      <c r="F55" s="50"/>
      <c r="G55" s="29"/>
      <c r="I55" s="30"/>
      <c r="J55" s="30"/>
    </row>
    <row r="56" spans="2:10" ht="16.5" thickBot="1" x14ac:dyDescent="0.3">
      <c r="B56" s="51"/>
      <c r="C56" s="51"/>
      <c r="D56" s="18"/>
      <c r="E56" s="85" t="s">
        <v>11</v>
      </c>
      <c r="F56" s="86"/>
      <c r="G56" s="52">
        <f>SUM(G15:G55)</f>
        <v>154000</v>
      </c>
    </row>
    <row r="57" spans="2:10" x14ac:dyDescent="0.25">
      <c r="B57" s="75" t="s">
        <v>102</v>
      </c>
      <c r="C57" s="76"/>
      <c r="D57" s="76"/>
      <c r="E57" s="76"/>
      <c r="F57" s="76"/>
      <c r="G57" s="77"/>
    </row>
    <row r="58" spans="2:10" ht="15.75" thickBot="1" x14ac:dyDescent="0.3">
      <c r="B58" s="87"/>
      <c r="C58" s="88"/>
      <c r="D58" s="88"/>
      <c r="E58" s="88"/>
      <c r="F58" s="88"/>
      <c r="G58" s="89"/>
    </row>
    <row r="59" spans="2:10" ht="15.75" x14ac:dyDescent="0.25">
      <c r="B59" s="9"/>
      <c r="C59" s="10"/>
      <c r="D59" s="39" t="s">
        <v>12</v>
      </c>
      <c r="E59" s="81" t="s">
        <v>13</v>
      </c>
      <c r="F59" s="81"/>
      <c r="G59" s="11"/>
    </row>
    <row r="60" spans="2:10" ht="15.75" x14ac:dyDescent="0.25">
      <c r="B60" s="18"/>
      <c r="C60" s="19"/>
      <c r="D60" s="40"/>
      <c r="E60" s="40"/>
      <c r="F60" s="40"/>
      <c r="G60" s="8"/>
    </row>
    <row r="61" spans="2:10" ht="15.75" x14ac:dyDescent="0.25">
      <c r="B61" s="18"/>
      <c r="C61" s="19"/>
      <c r="D61" s="19"/>
      <c r="E61" s="19"/>
      <c r="F61" s="19"/>
      <c r="G61" s="8"/>
    </row>
    <row r="62" spans="2:10" ht="15.75" x14ac:dyDescent="0.25">
      <c r="B62" s="18" t="s">
        <v>14</v>
      </c>
      <c r="C62" s="19"/>
      <c r="D62" s="41" t="s">
        <v>15</v>
      </c>
      <c r="E62" s="60" t="s">
        <v>16</v>
      </c>
      <c r="F62" s="60"/>
      <c r="G62" s="61"/>
    </row>
    <row r="63" spans="2:10" ht="16.5" thickBot="1" x14ac:dyDescent="0.3">
      <c r="B63" s="15" t="s">
        <v>17</v>
      </c>
      <c r="C63" s="16"/>
      <c r="D63" s="42" t="s">
        <v>103</v>
      </c>
      <c r="E63" s="62" t="s">
        <v>104</v>
      </c>
      <c r="F63" s="62"/>
      <c r="G63" s="63"/>
    </row>
  </sheetData>
  <mergeCells count="8">
    <mergeCell ref="E62:G62"/>
    <mergeCell ref="E63:G63"/>
    <mergeCell ref="B1:D1"/>
    <mergeCell ref="B2:D2"/>
    <mergeCell ref="B8:G9"/>
    <mergeCell ref="E56:F56"/>
    <mergeCell ref="B57:G58"/>
    <mergeCell ref="E59:F59"/>
  </mergeCells>
  <pageMargins left="0" right="0" top="0" bottom="0" header="0" footer="0"/>
  <pageSetup paperSize="9" scale="72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0BFC-FC47-4D4F-B270-BDAA2262BEB0}">
  <dimension ref="B1:J42"/>
  <sheetViews>
    <sheetView topLeftCell="A12" zoomScaleNormal="100" workbookViewId="0">
      <selection activeCell="B36" sqref="B36:G37"/>
    </sheetView>
  </sheetViews>
  <sheetFormatPr defaultRowHeight="15" x14ac:dyDescent="0.25"/>
  <cols>
    <col min="1" max="1" width="1.140625" customWidth="1"/>
    <col min="2" max="2" width="13.28515625" customWidth="1"/>
    <col min="3" max="3" width="11.85546875" customWidth="1"/>
    <col min="4" max="4" width="69.5703125" customWidth="1"/>
    <col min="5" max="5" width="11.85546875" customWidth="1"/>
    <col min="6" max="6" width="14.28515625" bestFit="1" customWidth="1"/>
    <col min="7" max="7" width="17.5703125" customWidth="1"/>
  </cols>
  <sheetData>
    <row r="1" spans="2:10" x14ac:dyDescent="0.25">
      <c r="B1" s="64"/>
      <c r="C1" s="65"/>
      <c r="D1" s="65"/>
      <c r="E1" s="1"/>
      <c r="F1" s="1"/>
      <c r="G1" s="2"/>
    </row>
    <row r="2" spans="2:10" x14ac:dyDescent="0.25">
      <c r="B2" s="66"/>
      <c r="C2" s="67"/>
      <c r="D2" s="67"/>
      <c r="E2" s="3"/>
      <c r="F2" s="3"/>
      <c r="G2" s="4"/>
    </row>
    <row r="3" spans="2:10" ht="15.75" x14ac:dyDescent="0.25">
      <c r="B3" s="5"/>
      <c r="C3" s="6"/>
      <c r="D3" s="6"/>
      <c r="E3" s="7"/>
      <c r="F3" s="7"/>
      <c r="G3" s="8"/>
    </row>
    <row r="4" spans="2:10" ht="15.75" x14ac:dyDescent="0.25">
      <c r="B4" s="5"/>
      <c r="C4" s="6"/>
      <c r="D4" s="6"/>
      <c r="E4" s="7"/>
      <c r="F4" s="7"/>
      <c r="G4" s="8"/>
    </row>
    <row r="5" spans="2:10" ht="15.75" x14ac:dyDescent="0.25">
      <c r="B5" s="5"/>
      <c r="C5" s="6"/>
      <c r="D5" s="6"/>
      <c r="E5" s="7"/>
      <c r="F5" s="7"/>
      <c r="G5" s="8"/>
    </row>
    <row r="6" spans="2:10" ht="15.75" x14ac:dyDescent="0.25">
      <c r="B6" s="5"/>
      <c r="C6" s="6"/>
      <c r="D6" s="6"/>
      <c r="E6" s="7"/>
      <c r="F6" s="7"/>
      <c r="G6" s="8"/>
    </row>
    <row r="7" spans="2:10" ht="16.5" thickBot="1" x14ac:dyDescent="0.3">
      <c r="B7" s="5"/>
      <c r="C7" s="6"/>
      <c r="D7" s="6"/>
      <c r="E7" s="7"/>
      <c r="F7" s="7"/>
      <c r="G7" s="8"/>
    </row>
    <row r="8" spans="2:10" x14ac:dyDescent="0.25">
      <c r="B8" s="82" t="s">
        <v>0</v>
      </c>
      <c r="C8" s="83"/>
      <c r="D8" s="83"/>
      <c r="E8" s="83"/>
      <c r="F8" s="83"/>
      <c r="G8" s="84"/>
    </row>
    <row r="9" spans="2:10" ht="15.75" thickBot="1" x14ac:dyDescent="0.3">
      <c r="B9" s="71"/>
      <c r="C9" s="72"/>
      <c r="D9" s="72"/>
      <c r="E9" s="72"/>
      <c r="F9" s="72"/>
      <c r="G9" s="73"/>
    </row>
    <row r="10" spans="2:10" ht="15.75" x14ac:dyDescent="0.25">
      <c r="B10" s="9"/>
      <c r="C10" s="10"/>
      <c r="D10" s="10"/>
      <c r="E10" s="10"/>
      <c r="F10" s="10"/>
      <c r="G10" s="11"/>
    </row>
    <row r="11" spans="2:10" ht="15.75" x14ac:dyDescent="0.25">
      <c r="B11" s="12" t="s">
        <v>1</v>
      </c>
      <c r="C11" s="13" t="s">
        <v>2</v>
      </c>
      <c r="D11" s="7" t="s">
        <v>57</v>
      </c>
      <c r="E11" s="7"/>
      <c r="F11" s="7" t="s">
        <v>3</v>
      </c>
      <c r="G11" s="14" t="s">
        <v>58</v>
      </c>
    </row>
    <row r="12" spans="2:10" ht="16.5" thickBot="1" x14ac:dyDescent="0.3">
      <c r="B12" s="15"/>
      <c r="C12" s="16"/>
      <c r="D12" s="16" t="s">
        <v>4</v>
      </c>
      <c r="E12" s="16"/>
      <c r="F12" s="16"/>
      <c r="G12" s="17"/>
    </row>
    <row r="13" spans="2:10" ht="16.5" thickBot="1" x14ac:dyDescent="0.3">
      <c r="B13" s="18"/>
      <c r="C13" s="19"/>
      <c r="D13" s="19"/>
      <c r="E13" s="19"/>
      <c r="F13" s="19"/>
      <c r="G13" s="20"/>
    </row>
    <row r="14" spans="2:10" ht="16.5" thickBot="1" x14ac:dyDescent="0.3">
      <c r="B14" s="21" t="s">
        <v>5</v>
      </c>
      <c r="C14" s="22" t="s">
        <v>6</v>
      </c>
      <c r="D14" s="23" t="s">
        <v>7</v>
      </c>
      <c r="E14" s="22" t="s">
        <v>8</v>
      </c>
      <c r="F14" s="24" t="s">
        <v>9</v>
      </c>
      <c r="G14" s="25" t="s">
        <v>10</v>
      </c>
    </row>
    <row r="15" spans="2:10" ht="15.75" x14ac:dyDescent="0.25">
      <c r="B15" s="26">
        <v>1</v>
      </c>
      <c r="C15" s="27" t="s">
        <v>19</v>
      </c>
      <c r="D15" s="46" t="s">
        <v>49</v>
      </c>
      <c r="E15" s="35"/>
      <c r="F15" s="28"/>
      <c r="G15" s="29"/>
      <c r="I15" s="30"/>
      <c r="J15" s="30"/>
    </row>
    <row r="16" spans="2:10" ht="15.75" x14ac:dyDescent="0.25">
      <c r="B16" s="26"/>
      <c r="C16" s="27"/>
      <c r="D16" s="43" t="s">
        <v>47</v>
      </c>
      <c r="E16" s="27"/>
      <c r="F16" s="28"/>
      <c r="G16" s="29"/>
      <c r="I16" s="30"/>
      <c r="J16" s="30"/>
    </row>
    <row r="17" spans="2:10" ht="15.75" x14ac:dyDescent="0.25">
      <c r="B17" s="26"/>
      <c r="C17" s="27"/>
      <c r="D17" s="43" t="s">
        <v>48</v>
      </c>
      <c r="E17" s="27"/>
      <c r="F17" s="28"/>
      <c r="G17" s="29"/>
      <c r="I17" s="30"/>
      <c r="J17" s="30"/>
    </row>
    <row r="18" spans="2:10" ht="15.75" x14ac:dyDescent="0.25">
      <c r="B18" s="26"/>
      <c r="C18" s="27"/>
      <c r="D18" s="44"/>
      <c r="E18" s="27"/>
      <c r="F18" s="28"/>
      <c r="G18" s="29"/>
      <c r="I18" s="30"/>
      <c r="J18" s="30"/>
    </row>
    <row r="19" spans="2:10" ht="15.75" x14ac:dyDescent="0.25">
      <c r="B19" s="26"/>
      <c r="C19" s="27"/>
      <c r="D19" s="44" t="s">
        <v>50</v>
      </c>
      <c r="E19" s="27">
        <v>24</v>
      </c>
      <c r="F19" s="28">
        <v>75</v>
      </c>
      <c r="G19" s="29">
        <f>+F19*E19</f>
        <v>1800</v>
      </c>
      <c r="I19" s="30"/>
      <c r="J19" s="30"/>
    </row>
    <row r="20" spans="2:10" ht="15.75" x14ac:dyDescent="0.25">
      <c r="B20" s="26"/>
      <c r="C20" s="27"/>
      <c r="D20" s="45" t="s">
        <v>51</v>
      </c>
      <c r="E20" s="27">
        <v>10</v>
      </c>
      <c r="F20" s="28">
        <v>120</v>
      </c>
      <c r="G20" s="29">
        <f t="shared" ref="G20:G23" si="0">+F20*E20</f>
        <v>1200</v>
      </c>
      <c r="I20" s="30"/>
      <c r="J20" s="30"/>
    </row>
    <row r="21" spans="2:10" ht="15.75" x14ac:dyDescent="0.25">
      <c r="B21" s="26"/>
      <c r="C21" s="27"/>
      <c r="D21" s="44" t="s">
        <v>52</v>
      </c>
      <c r="E21" s="27">
        <v>10</v>
      </c>
      <c r="F21" s="28">
        <v>145</v>
      </c>
      <c r="G21" s="29">
        <f t="shared" si="0"/>
        <v>1450</v>
      </c>
      <c r="I21" s="30"/>
      <c r="J21" s="30"/>
    </row>
    <row r="22" spans="2:10" ht="15.75" x14ac:dyDescent="0.25">
      <c r="B22" s="26"/>
      <c r="C22" s="27"/>
      <c r="D22" s="44" t="s">
        <v>53</v>
      </c>
      <c r="E22" s="27">
        <v>10</v>
      </c>
      <c r="F22" s="28">
        <v>180</v>
      </c>
      <c r="G22" s="29">
        <f t="shared" si="0"/>
        <v>1800</v>
      </c>
      <c r="I22" s="30"/>
      <c r="J22" s="30"/>
    </row>
    <row r="23" spans="2:10" ht="15.75" x14ac:dyDescent="0.25">
      <c r="B23" s="26"/>
      <c r="C23" s="27"/>
      <c r="D23" s="31" t="s">
        <v>54</v>
      </c>
      <c r="E23" s="33">
        <v>10</v>
      </c>
      <c r="F23" s="28">
        <v>240</v>
      </c>
      <c r="G23" s="29">
        <f t="shared" si="0"/>
        <v>2400</v>
      </c>
      <c r="I23" s="30"/>
      <c r="J23" s="30"/>
    </row>
    <row r="24" spans="2:10" ht="15.75" x14ac:dyDescent="0.25">
      <c r="B24" s="26"/>
      <c r="C24" s="27"/>
      <c r="D24" s="34"/>
      <c r="E24" s="33"/>
      <c r="F24" s="28"/>
      <c r="G24" s="29"/>
      <c r="I24" s="30"/>
      <c r="J24" s="30"/>
    </row>
    <row r="25" spans="2:10" ht="15.75" x14ac:dyDescent="0.25">
      <c r="B25" s="26"/>
      <c r="C25" s="27"/>
      <c r="D25" s="46" t="s">
        <v>55</v>
      </c>
      <c r="E25" s="33"/>
      <c r="F25" s="28"/>
      <c r="G25" s="29"/>
      <c r="I25" s="30"/>
      <c r="J25" s="30"/>
    </row>
    <row r="26" spans="2:10" ht="15.75" x14ac:dyDescent="0.25">
      <c r="B26" s="26"/>
      <c r="C26" s="27"/>
      <c r="D26" s="43" t="s">
        <v>47</v>
      </c>
      <c r="E26" s="33"/>
      <c r="F26" s="28"/>
      <c r="G26" s="29"/>
      <c r="I26" s="30"/>
      <c r="J26" s="30"/>
    </row>
    <row r="27" spans="2:10" ht="15.75" x14ac:dyDescent="0.25">
      <c r="B27" s="26"/>
      <c r="C27" s="27"/>
      <c r="D27" s="43" t="s">
        <v>48</v>
      </c>
      <c r="E27" s="33"/>
      <c r="F27" s="28"/>
      <c r="G27" s="29"/>
      <c r="I27" s="30"/>
      <c r="J27" s="30"/>
    </row>
    <row r="28" spans="2:10" ht="15.75" x14ac:dyDescent="0.25">
      <c r="B28" s="26"/>
      <c r="C28" s="27"/>
      <c r="D28" s="44"/>
      <c r="E28" s="33"/>
      <c r="F28" s="28"/>
      <c r="G28" s="29"/>
      <c r="I28" s="30"/>
      <c r="J28" s="30"/>
    </row>
    <row r="29" spans="2:10" ht="15.75" x14ac:dyDescent="0.25">
      <c r="B29" s="26"/>
      <c r="C29" s="27"/>
      <c r="D29" s="45" t="s">
        <v>51</v>
      </c>
      <c r="E29" s="33">
        <v>23</v>
      </c>
      <c r="F29" s="28">
        <v>140</v>
      </c>
      <c r="G29" s="29">
        <f>+F29*E29</f>
        <v>3220</v>
      </c>
      <c r="I29" s="30"/>
      <c r="J29" s="30"/>
    </row>
    <row r="30" spans="2:10" ht="15.75" x14ac:dyDescent="0.25">
      <c r="B30" s="26"/>
      <c r="C30" s="27"/>
      <c r="D30" s="44" t="s">
        <v>52</v>
      </c>
      <c r="E30" s="33">
        <v>10</v>
      </c>
      <c r="F30" s="28">
        <v>170</v>
      </c>
      <c r="G30" s="29">
        <f t="shared" ref="G30:G32" si="1">+F30*E30</f>
        <v>1700</v>
      </c>
      <c r="I30" s="30"/>
      <c r="J30" s="30"/>
    </row>
    <row r="31" spans="2:10" ht="15.75" x14ac:dyDescent="0.25">
      <c r="B31" s="26"/>
      <c r="C31" s="27"/>
      <c r="D31" s="44" t="s">
        <v>53</v>
      </c>
      <c r="E31" s="33">
        <v>10</v>
      </c>
      <c r="F31" s="28">
        <v>190</v>
      </c>
      <c r="G31" s="29">
        <f t="shared" si="1"/>
        <v>1900</v>
      </c>
      <c r="I31" s="30"/>
      <c r="J31" s="30"/>
    </row>
    <row r="32" spans="2:10" ht="15.75" x14ac:dyDescent="0.25">
      <c r="B32" s="26"/>
      <c r="C32" s="27"/>
      <c r="D32" s="31" t="s">
        <v>54</v>
      </c>
      <c r="E32" s="33">
        <v>10</v>
      </c>
      <c r="F32" s="28">
        <v>250</v>
      </c>
      <c r="G32" s="29">
        <f t="shared" si="1"/>
        <v>2500</v>
      </c>
      <c r="I32" s="30"/>
      <c r="J32" s="30"/>
    </row>
    <row r="33" spans="2:10" ht="15.75" x14ac:dyDescent="0.25">
      <c r="B33" s="26"/>
      <c r="C33" s="27"/>
      <c r="D33" s="34"/>
      <c r="E33" s="27"/>
      <c r="F33" s="28"/>
      <c r="G33" s="35"/>
      <c r="I33" s="30"/>
      <c r="J33" s="30"/>
    </row>
    <row r="34" spans="2:10" ht="15.75" x14ac:dyDescent="0.25">
      <c r="B34" s="26"/>
      <c r="C34" s="27"/>
      <c r="D34" s="34" t="s">
        <v>59</v>
      </c>
      <c r="E34" s="47"/>
      <c r="F34" s="48"/>
      <c r="G34" s="35"/>
      <c r="I34" s="30"/>
      <c r="J34" s="30"/>
    </row>
    <row r="35" spans="2:10" ht="16.5" thickBot="1" x14ac:dyDescent="0.3">
      <c r="B35" s="36"/>
      <c r="C35" s="36"/>
      <c r="D35" s="37"/>
      <c r="E35" s="74" t="s">
        <v>11</v>
      </c>
      <c r="F35" s="73"/>
      <c r="G35" s="38">
        <f>SUM(G15:G33)</f>
        <v>17970</v>
      </c>
    </row>
    <row r="36" spans="2:10" ht="14.45" customHeight="1" x14ac:dyDescent="0.25">
      <c r="B36" s="75" t="s">
        <v>56</v>
      </c>
      <c r="C36" s="76"/>
      <c r="D36" s="76"/>
      <c r="E36" s="76"/>
      <c r="F36" s="76"/>
      <c r="G36" s="77"/>
    </row>
    <row r="37" spans="2:10" ht="15" customHeight="1" thickBot="1" x14ac:dyDescent="0.3">
      <c r="B37" s="78"/>
      <c r="C37" s="79"/>
      <c r="D37" s="79"/>
      <c r="E37" s="79"/>
      <c r="F37" s="79"/>
      <c r="G37" s="80"/>
    </row>
    <row r="38" spans="2:10" ht="15.75" x14ac:dyDescent="0.25">
      <c r="B38" s="9"/>
      <c r="C38" s="10"/>
      <c r="D38" s="39" t="s">
        <v>12</v>
      </c>
      <c r="E38" s="81" t="s">
        <v>13</v>
      </c>
      <c r="F38" s="81"/>
      <c r="G38" s="11"/>
    </row>
    <row r="39" spans="2:10" ht="15.75" x14ac:dyDescent="0.25">
      <c r="B39" s="18"/>
      <c r="C39" s="19"/>
      <c r="D39" s="40"/>
      <c r="E39" s="40"/>
      <c r="F39" s="40"/>
      <c r="G39" s="8"/>
    </row>
    <row r="40" spans="2:10" ht="15.75" x14ac:dyDescent="0.25">
      <c r="B40" s="18"/>
      <c r="C40" s="19"/>
      <c r="D40" s="19"/>
      <c r="E40" s="19"/>
      <c r="F40" s="19"/>
      <c r="G40" s="8"/>
    </row>
    <row r="41" spans="2:10" ht="15.75" x14ac:dyDescent="0.25">
      <c r="B41" s="18" t="s">
        <v>14</v>
      </c>
      <c r="C41" s="19"/>
      <c r="D41" s="41" t="s">
        <v>15</v>
      </c>
      <c r="E41" s="60" t="s">
        <v>16</v>
      </c>
      <c r="F41" s="60"/>
      <c r="G41" s="61"/>
    </row>
    <row r="42" spans="2:10" ht="16.5" thickBot="1" x14ac:dyDescent="0.3">
      <c r="B42" s="15" t="s">
        <v>17</v>
      </c>
      <c r="C42" s="16"/>
      <c r="D42" s="42" t="s">
        <v>35</v>
      </c>
      <c r="E42" s="62" t="s">
        <v>23</v>
      </c>
      <c r="F42" s="62"/>
      <c r="G42" s="63"/>
    </row>
  </sheetData>
  <mergeCells count="8">
    <mergeCell ref="E41:G41"/>
    <mergeCell ref="E42:G42"/>
    <mergeCell ref="B1:D1"/>
    <mergeCell ref="B2:D2"/>
    <mergeCell ref="B8:G9"/>
    <mergeCell ref="E35:F35"/>
    <mergeCell ref="B36:G37"/>
    <mergeCell ref="E38:F38"/>
  </mergeCells>
  <pageMargins left="0" right="0" top="0" bottom="0" header="0" footer="0"/>
  <pageSetup paperSize="9" scale="73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B645-5AA6-41F8-8C36-06F7EB35A17D}">
  <dimension ref="B1:J37"/>
  <sheetViews>
    <sheetView view="pageBreakPreview" zoomScale="60" zoomScaleNormal="100" workbookViewId="0">
      <selection activeCell="N40" sqref="A1:XFD1048576"/>
    </sheetView>
  </sheetViews>
  <sheetFormatPr defaultRowHeight="15" x14ac:dyDescent="0.25"/>
  <cols>
    <col min="1" max="1" width="1.140625" customWidth="1"/>
    <col min="2" max="2" width="13.28515625" customWidth="1"/>
    <col min="3" max="3" width="11.85546875" customWidth="1"/>
    <col min="4" max="4" width="69.5703125" customWidth="1"/>
    <col min="5" max="5" width="11.85546875" customWidth="1"/>
    <col min="6" max="6" width="14.28515625" bestFit="1" customWidth="1"/>
    <col min="7" max="7" width="17.5703125" customWidth="1"/>
  </cols>
  <sheetData>
    <row r="1" spans="2:10" x14ac:dyDescent="0.25">
      <c r="B1" s="64"/>
      <c r="C1" s="65"/>
      <c r="D1" s="65"/>
      <c r="E1" s="1"/>
      <c r="F1" s="1"/>
      <c r="G1" s="2"/>
    </row>
    <row r="2" spans="2:10" x14ac:dyDescent="0.25">
      <c r="B2" s="66"/>
      <c r="C2" s="67"/>
      <c r="D2" s="67"/>
      <c r="E2" s="3"/>
      <c r="F2" s="3"/>
      <c r="G2" s="4"/>
    </row>
    <row r="3" spans="2:10" ht="15.75" x14ac:dyDescent="0.25">
      <c r="B3" s="5"/>
      <c r="C3" s="6"/>
      <c r="D3" s="6"/>
      <c r="E3" s="7"/>
      <c r="F3" s="7"/>
      <c r="G3" s="8"/>
    </row>
    <row r="4" spans="2:10" ht="15.75" x14ac:dyDescent="0.25">
      <c r="B4" s="5"/>
      <c r="C4" s="6"/>
      <c r="D4" s="6"/>
      <c r="E4" s="7"/>
      <c r="F4" s="7"/>
      <c r="G4" s="8"/>
    </row>
    <row r="5" spans="2:10" ht="15.75" x14ac:dyDescent="0.25">
      <c r="B5" s="5"/>
      <c r="C5" s="6"/>
      <c r="D5" s="6"/>
      <c r="E5" s="7"/>
      <c r="F5" s="7"/>
      <c r="G5" s="8"/>
    </row>
    <row r="6" spans="2:10" ht="15.75" x14ac:dyDescent="0.25">
      <c r="B6" s="5"/>
      <c r="C6" s="6"/>
      <c r="D6" s="6"/>
      <c r="E6" s="7"/>
      <c r="F6" s="7"/>
      <c r="G6" s="8"/>
    </row>
    <row r="7" spans="2:10" ht="15.75" x14ac:dyDescent="0.25">
      <c r="B7" s="5"/>
      <c r="C7" s="6"/>
      <c r="D7" s="6"/>
      <c r="E7" s="7"/>
      <c r="F7" s="7"/>
      <c r="G7" s="8"/>
    </row>
    <row r="8" spans="2:10" x14ac:dyDescent="0.25">
      <c r="B8" s="68" t="s">
        <v>0</v>
      </c>
      <c r="C8" s="69"/>
      <c r="D8" s="69"/>
      <c r="E8" s="69"/>
      <c r="F8" s="69"/>
      <c r="G8" s="70"/>
    </row>
    <row r="9" spans="2:10" ht="15.75" thickBot="1" x14ac:dyDescent="0.3">
      <c r="B9" s="71"/>
      <c r="C9" s="72"/>
      <c r="D9" s="72"/>
      <c r="E9" s="72"/>
      <c r="F9" s="72"/>
      <c r="G9" s="73"/>
    </row>
    <row r="10" spans="2:10" ht="15.75" x14ac:dyDescent="0.25">
      <c r="B10" s="9"/>
      <c r="C10" s="10"/>
      <c r="D10" s="10"/>
      <c r="E10" s="10"/>
      <c r="F10" s="10"/>
      <c r="G10" s="11"/>
    </row>
    <row r="11" spans="2:10" ht="15.75" x14ac:dyDescent="0.25">
      <c r="B11" s="12" t="s">
        <v>1</v>
      </c>
      <c r="C11" s="13" t="s">
        <v>2</v>
      </c>
      <c r="D11" s="7" t="s">
        <v>62</v>
      </c>
      <c r="E11" s="7"/>
      <c r="F11" s="7" t="s">
        <v>3</v>
      </c>
      <c r="G11" s="14" t="s">
        <v>63</v>
      </c>
    </row>
    <row r="12" spans="2:10" ht="16.5" thickBot="1" x14ac:dyDescent="0.3">
      <c r="B12" s="15"/>
      <c r="C12" s="16"/>
      <c r="D12" s="16" t="s">
        <v>4</v>
      </c>
      <c r="E12" s="16"/>
      <c r="F12" s="16"/>
      <c r="G12" s="17"/>
    </row>
    <row r="13" spans="2:10" ht="16.5" thickBot="1" x14ac:dyDescent="0.3">
      <c r="B13" s="18"/>
      <c r="C13" s="19"/>
      <c r="D13" s="19"/>
      <c r="E13" s="19"/>
      <c r="F13" s="19"/>
      <c r="G13" s="20"/>
    </row>
    <row r="14" spans="2:10" ht="16.5" thickBot="1" x14ac:dyDescent="0.3">
      <c r="B14" s="21" t="s">
        <v>5</v>
      </c>
      <c r="C14" s="22" t="s">
        <v>6</v>
      </c>
      <c r="D14" s="23" t="s">
        <v>7</v>
      </c>
      <c r="E14" s="22" t="s">
        <v>8</v>
      </c>
      <c r="F14" s="24" t="s">
        <v>9</v>
      </c>
      <c r="G14" s="25" t="s">
        <v>10</v>
      </c>
    </row>
    <row r="15" spans="2:10" ht="15.75" x14ac:dyDescent="0.25">
      <c r="B15" s="26">
        <v>1</v>
      </c>
      <c r="C15" s="27" t="s">
        <v>60</v>
      </c>
      <c r="D15" s="43" t="s">
        <v>61</v>
      </c>
      <c r="E15" s="35">
        <v>60</v>
      </c>
      <c r="F15" s="28">
        <v>360</v>
      </c>
      <c r="G15" s="29">
        <f>+F15*E15</f>
        <v>21600</v>
      </c>
      <c r="I15" s="30"/>
      <c r="J15" s="30"/>
    </row>
    <row r="16" spans="2:10" ht="15.75" x14ac:dyDescent="0.25">
      <c r="B16" s="26"/>
      <c r="C16" s="27"/>
      <c r="D16" s="44" t="s">
        <v>65</v>
      </c>
      <c r="E16" s="27"/>
      <c r="F16" s="28"/>
      <c r="G16" s="29"/>
      <c r="I16" s="30"/>
      <c r="J16" s="30"/>
    </row>
    <row r="17" spans="2:10" ht="15.75" x14ac:dyDescent="0.25">
      <c r="B17" s="26"/>
      <c r="C17" s="27"/>
      <c r="D17" s="44" t="s">
        <v>66</v>
      </c>
      <c r="E17" s="27"/>
      <c r="F17" s="28"/>
      <c r="G17" s="29"/>
      <c r="I17" s="30"/>
      <c r="J17" s="30"/>
    </row>
    <row r="18" spans="2:10" ht="15.75" x14ac:dyDescent="0.25">
      <c r="B18" s="26"/>
      <c r="C18" s="27"/>
      <c r="D18" s="44" t="s">
        <v>67</v>
      </c>
      <c r="E18" s="27"/>
      <c r="F18" s="28"/>
      <c r="G18" s="29"/>
      <c r="I18" s="30"/>
      <c r="J18" s="30"/>
    </row>
    <row r="19" spans="2:10" ht="15.75" x14ac:dyDescent="0.25">
      <c r="B19" s="26"/>
      <c r="C19" s="27"/>
      <c r="D19" s="44" t="s">
        <v>68</v>
      </c>
      <c r="E19" s="27"/>
      <c r="F19" s="28"/>
      <c r="G19" s="29"/>
      <c r="I19" s="30"/>
      <c r="J19" s="30"/>
    </row>
    <row r="20" spans="2:10" ht="15.75" x14ac:dyDescent="0.25">
      <c r="B20" s="26"/>
      <c r="C20" s="27"/>
      <c r="D20" s="45"/>
      <c r="E20" s="27"/>
      <c r="F20" s="28"/>
      <c r="G20" s="29"/>
      <c r="I20" s="30"/>
      <c r="J20" s="30"/>
    </row>
    <row r="21" spans="2:10" ht="15.75" x14ac:dyDescent="0.25">
      <c r="B21" s="26"/>
      <c r="C21" s="27"/>
      <c r="D21" s="44"/>
      <c r="E21" s="27"/>
      <c r="F21" s="28"/>
      <c r="G21" s="29"/>
      <c r="I21" s="30"/>
      <c r="J21" s="30"/>
    </row>
    <row r="22" spans="2:10" ht="15.75" x14ac:dyDescent="0.25">
      <c r="B22" s="26"/>
      <c r="C22" s="27"/>
      <c r="D22" s="44"/>
      <c r="E22" s="27"/>
      <c r="F22" s="28"/>
      <c r="G22" s="29"/>
      <c r="I22" s="30"/>
      <c r="J22" s="30"/>
    </row>
    <row r="23" spans="2:10" ht="15.75" x14ac:dyDescent="0.25">
      <c r="B23" s="26"/>
      <c r="C23" s="27"/>
      <c r="D23" s="31"/>
      <c r="E23" s="33"/>
      <c r="F23" s="28"/>
      <c r="G23" s="29"/>
      <c r="I23" s="30"/>
      <c r="J23" s="30"/>
    </row>
    <row r="24" spans="2:10" ht="15.75" x14ac:dyDescent="0.25">
      <c r="B24" s="26"/>
      <c r="C24" s="27"/>
      <c r="D24" s="34"/>
      <c r="E24" s="33"/>
      <c r="F24" s="28"/>
      <c r="G24" s="29"/>
      <c r="I24" s="30"/>
      <c r="J24" s="30"/>
    </row>
    <row r="25" spans="2:10" ht="15.75" x14ac:dyDescent="0.25">
      <c r="B25" s="26"/>
      <c r="C25" s="27"/>
      <c r="D25" s="31"/>
      <c r="E25" s="33"/>
      <c r="F25" s="28"/>
      <c r="G25" s="29"/>
      <c r="I25" s="30"/>
      <c r="J25" s="30"/>
    </row>
    <row r="26" spans="2:10" ht="15.75" x14ac:dyDescent="0.25">
      <c r="B26" s="26"/>
      <c r="C26" s="27"/>
      <c r="D26" s="31"/>
      <c r="E26" s="33"/>
      <c r="F26" s="28"/>
      <c r="G26" s="29"/>
      <c r="I26" s="30"/>
      <c r="J26" s="30"/>
    </row>
    <row r="27" spans="2:10" ht="15.75" x14ac:dyDescent="0.25">
      <c r="B27" s="26"/>
      <c r="C27" s="27"/>
      <c r="D27" s="31"/>
      <c r="E27" s="33"/>
      <c r="F27" s="28"/>
      <c r="G27" s="29"/>
      <c r="I27" s="30"/>
      <c r="J27" s="30"/>
    </row>
    <row r="28" spans="2:10" ht="15.75" x14ac:dyDescent="0.25">
      <c r="B28" s="26"/>
      <c r="C28" s="27"/>
      <c r="D28" s="31"/>
      <c r="E28" s="33"/>
      <c r="F28" s="28"/>
      <c r="G28" s="29"/>
      <c r="I28" s="30"/>
      <c r="J28" s="30"/>
    </row>
    <row r="29" spans="2:10" ht="15.75" x14ac:dyDescent="0.25">
      <c r="B29" s="26"/>
      <c r="C29" s="27"/>
      <c r="D29" s="31"/>
      <c r="E29" s="27"/>
      <c r="F29" s="28"/>
      <c r="G29" s="35"/>
      <c r="I29" s="30"/>
      <c r="J29" s="30"/>
    </row>
    <row r="30" spans="2:10" ht="16.5" thickBot="1" x14ac:dyDescent="0.3">
      <c r="B30" s="36"/>
      <c r="C30" s="36"/>
      <c r="D30" s="37"/>
      <c r="E30" s="74" t="s">
        <v>11</v>
      </c>
      <c r="F30" s="73"/>
      <c r="G30" s="38">
        <f>SUM(G15:G29)</f>
        <v>21600</v>
      </c>
    </row>
    <row r="31" spans="2:10" ht="14.45" customHeight="1" x14ac:dyDescent="0.25">
      <c r="B31" s="75" t="s">
        <v>64</v>
      </c>
      <c r="C31" s="76"/>
      <c r="D31" s="76"/>
      <c r="E31" s="76"/>
      <c r="F31" s="76"/>
      <c r="G31" s="77"/>
    </row>
    <row r="32" spans="2:10" ht="15" customHeight="1" thickBot="1" x14ac:dyDescent="0.3">
      <c r="B32" s="78"/>
      <c r="C32" s="79"/>
      <c r="D32" s="79"/>
      <c r="E32" s="79"/>
      <c r="F32" s="79"/>
      <c r="G32" s="80"/>
    </row>
    <row r="33" spans="2:7" ht="15.75" x14ac:dyDescent="0.25">
      <c r="B33" s="9"/>
      <c r="C33" s="10"/>
      <c r="D33" s="39" t="s">
        <v>12</v>
      </c>
      <c r="E33" s="81" t="s">
        <v>13</v>
      </c>
      <c r="F33" s="81"/>
      <c r="G33" s="11"/>
    </row>
    <row r="34" spans="2:7" ht="15.75" x14ac:dyDescent="0.25">
      <c r="B34" s="18"/>
      <c r="C34" s="19"/>
      <c r="D34" s="40"/>
      <c r="E34" s="40"/>
      <c r="F34" s="40"/>
      <c r="G34" s="8"/>
    </row>
    <row r="35" spans="2:7" ht="15.75" x14ac:dyDescent="0.25">
      <c r="B35" s="18"/>
      <c r="C35" s="19"/>
      <c r="D35" s="19"/>
      <c r="E35" s="19"/>
      <c r="F35" s="19"/>
      <c r="G35" s="8"/>
    </row>
    <row r="36" spans="2:7" ht="15.75" x14ac:dyDescent="0.25">
      <c r="B36" s="18" t="s">
        <v>14</v>
      </c>
      <c r="C36" s="19"/>
      <c r="D36" s="41" t="s">
        <v>15</v>
      </c>
      <c r="E36" s="60" t="s">
        <v>16</v>
      </c>
      <c r="F36" s="60"/>
      <c r="G36" s="61"/>
    </row>
    <row r="37" spans="2:7" ht="16.5" thickBot="1" x14ac:dyDescent="0.3">
      <c r="B37" s="15" t="s">
        <v>17</v>
      </c>
      <c r="C37" s="16"/>
      <c r="D37" s="42" t="s">
        <v>35</v>
      </c>
      <c r="E37" s="62" t="s">
        <v>23</v>
      </c>
      <c r="F37" s="62"/>
      <c r="G37" s="63"/>
    </row>
  </sheetData>
  <mergeCells count="8">
    <mergeCell ref="E36:G36"/>
    <mergeCell ref="E37:G37"/>
    <mergeCell ref="B1:D1"/>
    <mergeCell ref="B2:D2"/>
    <mergeCell ref="B8:G9"/>
    <mergeCell ref="E30:F30"/>
    <mergeCell ref="B31:G32"/>
    <mergeCell ref="E33:F33"/>
  </mergeCells>
  <pageMargins left="0" right="0" top="0" bottom="0" header="0" footer="0"/>
  <pageSetup paperSize="9" scale="73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B6D85-2011-44A9-A089-1A9300428359}">
  <dimension ref="B1:Q51"/>
  <sheetViews>
    <sheetView topLeftCell="A19" zoomScaleNormal="100" workbookViewId="0">
      <selection activeCell="M30" sqref="M30"/>
    </sheetView>
  </sheetViews>
  <sheetFormatPr defaultRowHeight="15" x14ac:dyDescent="0.25"/>
  <cols>
    <col min="1" max="1" width="1.140625" customWidth="1"/>
    <col min="2" max="2" width="13.28515625" customWidth="1"/>
    <col min="3" max="3" width="11.85546875" customWidth="1"/>
    <col min="4" max="4" width="69.5703125" customWidth="1"/>
    <col min="5" max="5" width="11.85546875" customWidth="1"/>
    <col min="6" max="6" width="14.28515625" bestFit="1" customWidth="1"/>
    <col min="7" max="7" width="17.5703125" customWidth="1"/>
  </cols>
  <sheetData>
    <row r="1" spans="2:17" x14ac:dyDescent="0.25">
      <c r="B1" s="64"/>
      <c r="C1" s="65"/>
      <c r="D1" s="65"/>
      <c r="E1" s="1"/>
      <c r="F1" s="1"/>
      <c r="G1" s="2"/>
    </row>
    <row r="2" spans="2:17" x14ac:dyDescent="0.25">
      <c r="B2" s="66"/>
      <c r="C2" s="67"/>
      <c r="D2" s="67"/>
      <c r="E2" s="3"/>
      <c r="F2" s="3"/>
      <c r="G2" s="4"/>
    </row>
    <row r="3" spans="2:17" ht="15.75" x14ac:dyDescent="0.25">
      <c r="B3" s="5"/>
      <c r="C3" s="6"/>
      <c r="D3" s="6"/>
      <c r="E3" s="7"/>
      <c r="F3" s="7"/>
      <c r="G3" s="8"/>
    </row>
    <row r="4" spans="2:17" ht="15.75" x14ac:dyDescent="0.25">
      <c r="B4" s="5"/>
      <c r="C4" s="6"/>
      <c r="D4" s="6"/>
      <c r="E4" s="7"/>
      <c r="F4" s="7"/>
      <c r="G4" s="8"/>
    </row>
    <row r="5" spans="2:17" ht="15.75" x14ac:dyDescent="0.25">
      <c r="B5" s="5"/>
      <c r="C5" s="6"/>
      <c r="D5" s="6"/>
      <c r="E5" s="7"/>
      <c r="F5" s="7"/>
      <c r="G5" s="8"/>
    </row>
    <row r="6" spans="2:17" ht="15.75" x14ac:dyDescent="0.25">
      <c r="B6" s="5"/>
      <c r="C6" s="6"/>
      <c r="D6" s="6"/>
      <c r="E6" s="7"/>
      <c r="F6" s="7"/>
      <c r="G6" s="8"/>
    </row>
    <row r="7" spans="2:17" ht="15.75" x14ac:dyDescent="0.25">
      <c r="B7" s="5"/>
      <c r="C7" s="6"/>
      <c r="D7" s="6"/>
      <c r="E7" s="7"/>
      <c r="F7" s="7"/>
      <c r="G7" s="8"/>
    </row>
    <row r="8" spans="2:17" x14ac:dyDescent="0.25">
      <c r="B8" s="68" t="s">
        <v>0</v>
      </c>
      <c r="C8" s="69"/>
      <c r="D8" s="69"/>
      <c r="E8" s="69"/>
      <c r="F8" s="69"/>
      <c r="G8" s="70"/>
    </row>
    <row r="9" spans="2:17" ht="15.75" thickBot="1" x14ac:dyDescent="0.3">
      <c r="B9" s="71"/>
      <c r="C9" s="72"/>
      <c r="D9" s="72"/>
      <c r="E9" s="72"/>
      <c r="F9" s="72"/>
      <c r="G9" s="73"/>
    </row>
    <row r="10" spans="2:17" ht="15.75" x14ac:dyDescent="0.25">
      <c r="B10" s="9"/>
      <c r="C10" s="10"/>
      <c r="D10" s="10"/>
      <c r="E10" s="10"/>
      <c r="F10" s="10"/>
      <c r="G10" s="11"/>
    </row>
    <row r="11" spans="2:17" ht="15.75" x14ac:dyDescent="0.25">
      <c r="B11" s="12" t="s">
        <v>1</v>
      </c>
      <c r="C11" s="13" t="s">
        <v>2</v>
      </c>
      <c r="D11" s="7" t="s">
        <v>62</v>
      </c>
      <c r="E11" s="7"/>
      <c r="F11" s="7" t="s">
        <v>3</v>
      </c>
      <c r="G11" s="14" t="s">
        <v>63</v>
      </c>
    </row>
    <row r="12" spans="2:17" ht="16.5" thickBot="1" x14ac:dyDescent="0.3">
      <c r="B12" s="15"/>
      <c r="C12" s="16"/>
      <c r="D12" s="16" t="s">
        <v>4</v>
      </c>
      <c r="E12" s="16"/>
      <c r="F12" s="16"/>
      <c r="G12" s="17"/>
    </row>
    <row r="13" spans="2:17" ht="16.5" thickBot="1" x14ac:dyDescent="0.3">
      <c r="B13" s="18"/>
      <c r="C13" s="19"/>
      <c r="D13" s="19"/>
      <c r="E13" s="19"/>
      <c r="F13" s="19"/>
      <c r="G13" s="20"/>
    </row>
    <row r="14" spans="2:17" ht="16.5" thickBot="1" x14ac:dyDescent="0.3">
      <c r="B14" s="21" t="s">
        <v>5</v>
      </c>
      <c r="C14" s="22" t="s">
        <v>6</v>
      </c>
      <c r="D14" s="23" t="s">
        <v>7</v>
      </c>
      <c r="E14" s="22" t="s">
        <v>8</v>
      </c>
      <c r="F14" s="24" t="s">
        <v>9</v>
      </c>
      <c r="G14" s="25" t="s">
        <v>10</v>
      </c>
      <c r="K14" t="s">
        <v>139</v>
      </c>
      <c r="O14" t="s">
        <v>158</v>
      </c>
    </row>
    <row r="15" spans="2:17" ht="15.75" x14ac:dyDescent="0.25">
      <c r="B15" s="26">
        <v>1</v>
      </c>
      <c r="C15" s="27" t="s">
        <v>60</v>
      </c>
      <c r="D15" s="46" t="s">
        <v>105</v>
      </c>
      <c r="E15" s="27">
        <v>20</v>
      </c>
      <c r="F15" s="28">
        <v>1100</v>
      </c>
      <c r="G15" s="29">
        <f>+F15*E15</f>
        <v>22000</v>
      </c>
      <c r="I15" s="30"/>
      <c r="J15" s="30"/>
      <c r="L15" t="s">
        <v>140</v>
      </c>
      <c r="M15">
        <v>1</v>
      </c>
      <c r="P15" t="s">
        <v>159</v>
      </c>
      <c r="Q15">
        <v>1</v>
      </c>
    </row>
    <row r="16" spans="2:17" ht="15.75" x14ac:dyDescent="0.25">
      <c r="B16" s="26"/>
      <c r="C16" s="27"/>
      <c r="D16" s="44" t="s">
        <v>65</v>
      </c>
      <c r="E16" s="27"/>
      <c r="F16" s="28"/>
      <c r="G16" s="29"/>
      <c r="I16" s="30"/>
      <c r="J16" s="30"/>
      <c r="L16" t="s">
        <v>141</v>
      </c>
      <c r="M16">
        <v>2</v>
      </c>
      <c r="P16" t="s">
        <v>160</v>
      </c>
      <c r="Q16">
        <v>1</v>
      </c>
    </row>
    <row r="17" spans="2:17" ht="15.75" x14ac:dyDescent="0.25">
      <c r="B17" s="26"/>
      <c r="C17" s="27"/>
      <c r="D17" s="44" t="s">
        <v>106</v>
      </c>
      <c r="E17" s="27"/>
      <c r="F17" s="28"/>
      <c r="G17" s="29"/>
      <c r="I17" s="30"/>
      <c r="J17" s="30"/>
      <c r="L17" t="s">
        <v>142</v>
      </c>
      <c r="M17">
        <v>1</v>
      </c>
      <c r="P17" t="s">
        <v>161</v>
      </c>
      <c r="Q17">
        <v>1</v>
      </c>
    </row>
    <row r="18" spans="2:17" ht="15.75" x14ac:dyDescent="0.25">
      <c r="B18" s="26"/>
      <c r="C18" s="27"/>
      <c r="D18" s="44" t="s">
        <v>107</v>
      </c>
      <c r="E18" s="27"/>
      <c r="F18" s="28"/>
      <c r="G18" s="29"/>
      <c r="I18" s="30"/>
      <c r="J18" s="30"/>
      <c r="L18" t="s">
        <v>143</v>
      </c>
      <c r="M18">
        <v>1</v>
      </c>
      <c r="P18" t="s">
        <v>162</v>
      </c>
      <c r="Q18">
        <v>1</v>
      </c>
    </row>
    <row r="19" spans="2:17" ht="15.75" x14ac:dyDescent="0.25">
      <c r="B19" s="26"/>
      <c r="C19" s="27"/>
      <c r="D19" s="44" t="s">
        <v>108</v>
      </c>
      <c r="E19" s="27"/>
      <c r="F19" s="28"/>
      <c r="G19" s="29"/>
      <c r="I19" s="30"/>
      <c r="J19" s="30"/>
      <c r="L19" t="s">
        <v>144</v>
      </c>
      <c r="M19">
        <v>1</v>
      </c>
      <c r="P19" t="s">
        <v>163</v>
      </c>
      <c r="Q19">
        <v>1</v>
      </c>
    </row>
    <row r="20" spans="2:17" ht="15.75" x14ac:dyDescent="0.25">
      <c r="B20" s="26"/>
      <c r="C20" s="27"/>
      <c r="D20" s="45" t="s">
        <v>109</v>
      </c>
      <c r="E20" s="27"/>
      <c r="F20" s="28"/>
      <c r="G20" s="29"/>
      <c r="I20" s="30"/>
      <c r="J20" s="30"/>
      <c r="L20" t="s">
        <v>145</v>
      </c>
      <c r="M20">
        <v>1</v>
      </c>
      <c r="P20" t="s">
        <v>164</v>
      </c>
      <c r="Q20">
        <v>1</v>
      </c>
    </row>
    <row r="21" spans="2:17" ht="15.75" x14ac:dyDescent="0.25">
      <c r="B21" s="26"/>
      <c r="C21" s="27"/>
      <c r="D21" s="44" t="s">
        <v>110</v>
      </c>
      <c r="E21" s="27"/>
      <c r="F21" s="28"/>
      <c r="G21" s="29"/>
      <c r="I21" s="30"/>
      <c r="J21" s="30"/>
      <c r="L21" t="s">
        <v>146</v>
      </c>
      <c r="M21">
        <v>1</v>
      </c>
      <c r="P21" t="s">
        <v>165</v>
      </c>
      <c r="Q21">
        <v>1</v>
      </c>
    </row>
    <row r="22" spans="2:17" ht="15.75" x14ac:dyDescent="0.25">
      <c r="B22" s="26">
        <v>2</v>
      </c>
      <c r="C22" s="27" t="s">
        <v>60</v>
      </c>
      <c r="D22" s="54" t="s">
        <v>113</v>
      </c>
      <c r="E22" s="27">
        <v>14</v>
      </c>
      <c r="F22" s="28">
        <v>5000</v>
      </c>
      <c r="G22" s="29">
        <f>+F22*E22</f>
        <v>70000</v>
      </c>
      <c r="I22" s="30"/>
      <c r="J22" s="30"/>
      <c r="L22" t="s">
        <v>147</v>
      </c>
      <c r="M22">
        <v>1</v>
      </c>
      <c r="P22" t="s">
        <v>166</v>
      </c>
      <c r="Q22">
        <v>1</v>
      </c>
    </row>
    <row r="23" spans="2:17" ht="15.75" x14ac:dyDescent="0.25">
      <c r="B23" s="26"/>
      <c r="C23" s="27"/>
      <c r="D23" s="31" t="s">
        <v>65</v>
      </c>
      <c r="E23" s="33"/>
      <c r="F23" s="28"/>
      <c r="G23" s="29"/>
      <c r="I23" s="30"/>
      <c r="J23" s="30"/>
      <c r="L23" t="s">
        <v>148</v>
      </c>
      <c r="M23">
        <v>1</v>
      </c>
      <c r="P23" t="s">
        <v>167</v>
      </c>
      <c r="Q23">
        <v>1</v>
      </c>
    </row>
    <row r="24" spans="2:17" ht="15.75" x14ac:dyDescent="0.25">
      <c r="B24" s="26"/>
      <c r="C24" s="27"/>
      <c r="D24" s="34" t="s">
        <v>111</v>
      </c>
      <c r="E24" s="33"/>
      <c r="F24" s="28"/>
      <c r="G24" s="29"/>
      <c r="I24" s="30"/>
      <c r="J24" s="30"/>
      <c r="L24" t="s">
        <v>149</v>
      </c>
      <c r="M24">
        <v>1</v>
      </c>
      <c r="P24" t="s">
        <v>168</v>
      </c>
      <c r="Q24">
        <v>1</v>
      </c>
    </row>
    <row r="25" spans="2:17" ht="15.75" x14ac:dyDescent="0.25">
      <c r="B25" s="26"/>
      <c r="C25" s="27"/>
      <c r="D25" s="34" t="s">
        <v>112</v>
      </c>
      <c r="E25" s="33"/>
      <c r="F25" s="28"/>
      <c r="G25" s="29"/>
      <c r="I25" s="30"/>
      <c r="J25" s="30"/>
      <c r="L25" t="s">
        <v>150</v>
      </c>
      <c r="M25">
        <v>1</v>
      </c>
      <c r="P25" t="s">
        <v>169</v>
      </c>
      <c r="Q25">
        <v>1</v>
      </c>
    </row>
    <row r="26" spans="2:17" ht="15.75" x14ac:dyDescent="0.25">
      <c r="B26" s="26"/>
      <c r="C26" s="27"/>
      <c r="D26" s="34" t="s">
        <v>114</v>
      </c>
      <c r="E26" s="33"/>
      <c r="F26" s="28"/>
      <c r="G26" s="29"/>
      <c r="I26" s="30"/>
      <c r="J26" s="30"/>
      <c r="L26" t="s">
        <v>151</v>
      </c>
      <c r="P26" t="s">
        <v>170</v>
      </c>
      <c r="Q26">
        <v>1</v>
      </c>
    </row>
    <row r="27" spans="2:17" ht="15.75" x14ac:dyDescent="0.25">
      <c r="B27" s="26">
        <v>3</v>
      </c>
      <c r="C27" s="27" t="s">
        <v>6</v>
      </c>
      <c r="D27" s="53" t="s">
        <v>115</v>
      </c>
      <c r="E27" s="33">
        <v>1</v>
      </c>
      <c r="F27" s="28">
        <v>8000</v>
      </c>
      <c r="G27" s="29">
        <f>+F27*E27</f>
        <v>8000</v>
      </c>
      <c r="I27" s="30"/>
      <c r="J27" s="30"/>
      <c r="L27" t="s">
        <v>152</v>
      </c>
      <c r="P27" t="s">
        <v>171</v>
      </c>
      <c r="Q27">
        <v>1</v>
      </c>
    </row>
    <row r="28" spans="2:17" ht="15.75" x14ac:dyDescent="0.25">
      <c r="B28" s="26"/>
      <c r="C28" s="27"/>
      <c r="D28" s="34" t="s">
        <v>65</v>
      </c>
      <c r="E28" s="33"/>
      <c r="F28" s="28"/>
      <c r="G28" s="29"/>
      <c r="I28" s="30"/>
      <c r="J28" s="30"/>
      <c r="L28" t="s">
        <v>153</v>
      </c>
      <c r="P28" t="s">
        <v>172</v>
      </c>
      <c r="Q28">
        <v>1</v>
      </c>
    </row>
    <row r="29" spans="2:17" ht="15.75" x14ac:dyDescent="0.25">
      <c r="B29" s="26"/>
      <c r="C29" s="27"/>
      <c r="D29" s="34" t="s">
        <v>116</v>
      </c>
      <c r="E29" s="33"/>
      <c r="F29" s="28"/>
      <c r="G29" s="29"/>
      <c r="I29" s="30"/>
      <c r="J29" s="30"/>
      <c r="L29" t="s">
        <v>154</v>
      </c>
      <c r="M29">
        <v>1</v>
      </c>
      <c r="Q29">
        <f>SUM(Q15:Q28)</f>
        <v>14</v>
      </c>
    </row>
    <row r="30" spans="2:17" ht="15.75" x14ac:dyDescent="0.25">
      <c r="B30" s="26"/>
      <c r="C30" s="27"/>
      <c r="D30" s="34" t="s">
        <v>117</v>
      </c>
      <c r="E30" s="33"/>
      <c r="F30" s="28"/>
      <c r="G30" s="29"/>
      <c r="I30" s="30"/>
      <c r="J30" s="30"/>
      <c r="L30" t="s">
        <v>155</v>
      </c>
      <c r="M30">
        <v>1</v>
      </c>
    </row>
    <row r="31" spans="2:17" ht="15.75" x14ac:dyDescent="0.25">
      <c r="B31" s="26"/>
      <c r="C31" s="27"/>
      <c r="D31" s="34" t="s">
        <v>174</v>
      </c>
      <c r="E31" s="33"/>
      <c r="F31" s="28"/>
      <c r="G31" s="29"/>
      <c r="I31" s="30"/>
      <c r="J31" s="30"/>
      <c r="L31" t="s">
        <v>156</v>
      </c>
      <c r="M31">
        <v>1</v>
      </c>
    </row>
    <row r="32" spans="2:17" ht="15.75" x14ac:dyDescent="0.25">
      <c r="B32" s="26">
        <v>4</v>
      </c>
      <c r="C32" s="27" t="s">
        <v>6</v>
      </c>
      <c r="D32" s="53" t="s">
        <v>118</v>
      </c>
      <c r="E32" s="33">
        <v>2</v>
      </c>
      <c r="F32" s="28">
        <v>2000</v>
      </c>
      <c r="G32" s="29">
        <f>+F32*E32</f>
        <v>4000</v>
      </c>
      <c r="I32" s="30"/>
      <c r="J32" s="30"/>
      <c r="M32">
        <f>SUM(M15:M31)</f>
        <v>15</v>
      </c>
    </row>
    <row r="33" spans="2:10" ht="15.75" x14ac:dyDescent="0.25">
      <c r="B33" s="26"/>
      <c r="C33" s="27"/>
      <c r="D33" s="34" t="s">
        <v>65</v>
      </c>
      <c r="E33" s="33"/>
      <c r="F33" s="28"/>
      <c r="G33" s="29"/>
      <c r="I33" s="30"/>
      <c r="J33" s="30"/>
    </row>
    <row r="34" spans="2:10" ht="15.75" x14ac:dyDescent="0.25">
      <c r="B34" s="26"/>
      <c r="C34" s="27"/>
      <c r="D34" s="34" t="s">
        <v>119</v>
      </c>
      <c r="E34" s="33"/>
      <c r="F34" s="28"/>
      <c r="G34" s="29"/>
      <c r="I34" s="30"/>
      <c r="J34" s="30"/>
    </row>
    <row r="35" spans="2:10" ht="15.75" x14ac:dyDescent="0.25">
      <c r="B35" s="26"/>
      <c r="C35" s="27"/>
      <c r="D35" s="34" t="s">
        <v>157</v>
      </c>
      <c r="E35" s="33"/>
      <c r="F35" s="28"/>
      <c r="G35" s="29"/>
      <c r="I35" s="30"/>
      <c r="J35" s="30"/>
    </row>
    <row r="36" spans="2:10" ht="15.75" x14ac:dyDescent="0.25">
      <c r="B36" s="26"/>
      <c r="C36" s="27"/>
      <c r="D36" s="34" t="s">
        <v>120</v>
      </c>
      <c r="E36" s="33"/>
      <c r="F36" s="28"/>
      <c r="G36" s="29"/>
      <c r="I36" s="30"/>
      <c r="J36" s="30"/>
    </row>
    <row r="37" spans="2:10" ht="15.75" x14ac:dyDescent="0.25">
      <c r="B37" s="26">
        <v>5</v>
      </c>
      <c r="C37" s="27" t="s">
        <v>6</v>
      </c>
      <c r="D37" s="49" t="s">
        <v>132</v>
      </c>
      <c r="E37" s="33">
        <v>3</v>
      </c>
      <c r="F37" s="28">
        <v>9500</v>
      </c>
      <c r="G37" s="29">
        <f>+F37*E37</f>
        <v>28500</v>
      </c>
      <c r="I37" s="30"/>
      <c r="J37" s="30"/>
    </row>
    <row r="38" spans="2:10" ht="15.75" x14ac:dyDescent="0.25">
      <c r="B38" s="26"/>
      <c r="C38" s="27"/>
      <c r="D38" s="31" t="s">
        <v>133</v>
      </c>
      <c r="E38" s="33"/>
      <c r="F38" s="28"/>
      <c r="G38" s="29"/>
      <c r="I38" s="30"/>
      <c r="J38" s="30"/>
    </row>
    <row r="39" spans="2:10" ht="15.75" x14ac:dyDescent="0.25">
      <c r="B39" s="26"/>
      <c r="C39" s="27"/>
      <c r="D39" s="31" t="s">
        <v>134</v>
      </c>
      <c r="E39" s="33"/>
      <c r="F39" s="28"/>
      <c r="G39" s="29"/>
      <c r="I39" s="30"/>
      <c r="J39" s="30"/>
    </row>
    <row r="40" spans="2:10" ht="15.75" x14ac:dyDescent="0.25">
      <c r="B40" s="26"/>
      <c r="C40" s="27"/>
      <c r="D40" s="31" t="s">
        <v>135</v>
      </c>
      <c r="E40" s="33"/>
      <c r="F40" s="28"/>
      <c r="G40" s="29"/>
      <c r="I40" s="30"/>
      <c r="J40" s="30"/>
    </row>
    <row r="41" spans="2:10" ht="15.75" x14ac:dyDescent="0.25">
      <c r="B41" s="26">
        <v>6</v>
      </c>
      <c r="C41" s="27" t="s">
        <v>6</v>
      </c>
      <c r="D41" s="49" t="s">
        <v>136</v>
      </c>
      <c r="E41" s="33">
        <v>3</v>
      </c>
      <c r="F41" s="28">
        <v>7000</v>
      </c>
      <c r="G41" s="29">
        <f>+F41*E41</f>
        <v>21000</v>
      </c>
      <c r="I41" s="30"/>
      <c r="J41" s="30"/>
    </row>
    <row r="42" spans="2:10" ht="15.75" x14ac:dyDescent="0.25">
      <c r="B42" s="26"/>
      <c r="C42" s="27"/>
      <c r="D42" s="31" t="s">
        <v>137</v>
      </c>
      <c r="E42" s="33"/>
      <c r="F42" s="28"/>
      <c r="G42" s="29"/>
      <c r="I42" s="30"/>
      <c r="J42" s="30"/>
    </row>
    <row r="43" spans="2:10" ht="15.75" x14ac:dyDescent="0.25">
      <c r="B43" s="26"/>
      <c r="C43" s="27"/>
      <c r="D43" s="31" t="s">
        <v>138</v>
      </c>
      <c r="E43" s="27"/>
      <c r="F43" s="28"/>
      <c r="G43" s="35"/>
      <c r="I43" s="30"/>
      <c r="J43" s="30"/>
    </row>
    <row r="44" spans="2:10" ht="16.5" thickBot="1" x14ac:dyDescent="0.3">
      <c r="B44" s="36"/>
      <c r="C44" s="36"/>
      <c r="D44" s="37"/>
      <c r="E44" s="74" t="s">
        <v>11</v>
      </c>
      <c r="F44" s="73"/>
      <c r="G44" s="38">
        <f>SUM(G15:G43)</f>
        <v>153500</v>
      </c>
    </row>
    <row r="45" spans="2:10" ht="14.45" customHeight="1" x14ac:dyDescent="0.25">
      <c r="B45" s="75" t="s">
        <v>173</v>
      </c>
      <c r="C45" s="76"/>
      <c r="D45" s="76"/>
      <c r="E45" s="76"/>
      <c r="F45" s="76"/>
      <c r="G45" s="77"/>
    </row>
    <row r="46" spans="2:10" ht="15" customHeight="1" thickBot="1" x14ac:dyDescent="0.3">
      <c r="B46" s="78"/>
      <c r="C46" s="79"/>
      <c r="D46" s="79"/>
      <c r="E46" s="79"/>
      <c r="F46" s="79"/>
      <c r="G46" s="80"/>
    </row>
    <row r="47" spans="2:10" ht="15.75" x14ac:dyDescent="0.25">
      <c r="B47" s="9"/>
      <c r="C47" s="10"/>
      <c r="D47" s="39" t="s">
        <v>12</v>
      </c>
      <c r="E47" s="81" t="s">
        <v>13</v>
      </c>
      <c r="F47" s="81"/>
      <c r="G47" s="11"/>
    </row>
    <row r="48" spans="2:10" ht="15.75" x14ac:dyDescent="0.25">
      <c r="B48" s="18"/>
      <c r="C48" s="19"/>
      <c r="D48" s="40"/>
      <c r="E48" s="40"/>
      <c r="F48" s="40"/>
      <c r="G48" s="8"/>
    </row>
    <row r="49" spans="2:7" ht="15.75" x14ac:dyDescent="0.25">
      <c r="B49" s="18"/>
      <c r="C49" s="19"/>
      <c r="D49" s="19"/>
      <c r="E49" s="19"/>
      <c r="F49" s="19"/>
      <c r="G49" s="8"/>
    </row>
    <row r="50" spans="2:7" ht="15.75" x14ac:dyDescent="0.25">
      <c r="B50" s="18" t="s">
        <v>14</v>
      </c>
      <c r="C50" s="19"/>
      <c r="D50" s="41" t="s">
        <v>15</v>
      </c>
      <c r="E50" s="60" t="s">
        <v>16</v>
      </c>
      <c r="F50" s="60"/>
      <c r="G50" s="61"/>
    </row>
    <row r="51" spans="2:7" ht="16.5" thickBot="1" x14ac:dyDescent="0.3">
      <c r="B51" s="15" t="s">
        <v>17</v>
      </c>
      <c r="C51" s="16"/>
      <c r="D51" s="42" t="s">
        <v>35</v>
      </c>
      <c r="E51" s="62" t="s">
        <v>23</v>
      </c>
      <c r="F51" s="62"/>
      <c r="G51" s="63"/>
    </row>
  </sheetData>
  <mergeCells count="8">
    <mergeCell ref="E50:G50"/>
    <mergeCell ref="E51:G51"/>
    <mergeCell ref="B1:D1"/>
    <mergeCell ref="B2:D2"/>
    <mergeCell ref="B8:G9"/>
    <mergeCell ref="E44:F44"/>
    <mergeCell ref="B45:G46"/>
    <mergeCell ref="E47:F47"/>
  </mergeCells>
  <pageMargins left="0" right="0" top="0" bottom="0" header="0" footer="0"/>
  <pageSetup paperSize="9" scale="73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1B2F-306F-4FBE-B3A9-9D92E703727A}">
  <dimension ref="B1:J38"/>
  <sheetViews>
    <sheetView topLeftCell="A10" workbookViewId="0">
      <selection activeCell="F15" sqref="F15"/>
    </sheetView>
  </sheetViews>
  <sheetFormatPr defaultRowHeight="15" x14ac:dyDescent="0.25"/>
  <cols>
    <col min="1" max="1" width="1.140625" customWidth="1"/>
    <col min="2" max="2" width="13.28515625" customWidth="1"/>
    <col min="3" max="3" width="11.85546875" customWidth="1"/>
    <col min="4" max="4" width="69.5703125" customWidth="1"/>
    <col min="5" max="5" width="11.85546875" customWidth="1"/>
    <col min="6" max="6" width="14.28515625" bestFit="1" customWidth="1"/>
    <col min="7" max="7" width="17.5703125" customWidth="1"/>
  </cols>
  <sheetData>
    <row r="1" spans="2:10" x14ac:dyDescent="0.25">
      <c r="B1" s="64"/>
      <c r="C1" s="65"/>
      <c r="D1" s="65"/>
      <c r="E1" s="1"/>
      <c r="F1" s="1"/>
      <c r="G1" s="2"/>
    </row>
    <row r="2" spans="2:10" x14ac:dyDescent="0.25">
      <c r="B2" s="66"/>
      <c r="C2" s="67"/>
      <c r="D2" s="67"/>
      <c r="E2" s="3"/>
      <c r="F2" s="3"/>
      <c r="G2" s="4"/>
    </row>
    <row r="3" spans="2:10" ht="15.75" x14ac:dyDescent="0.25">
      <c r="B3" s="5"/>
      <c r="C3" s="6"/>
      <c r="D3" s="6"/>
      <c r="E3" s="7"/>
      <c r="F3" s="7"/>
      <c r="G3" s="8"/>
    </row>
    <row r="4" spans="2:10" ht="15.75" x14ac:dyDescent="0.25">
      <c r="B4" s="5"/>
      <c r="C4" s="6"/>
      <c r="D4" s="6"/>
      <c r="E4" s="7"/>
      <c r="F4" s="7"/>
      <c r="G4" s="8"/>
    </row>
    <row r="5" spans="2:10" ht="15.75" x14ac:dyDescent="0.25">
      <c r="B5" s="5"/>
      <c r="C5" s="6"/>
      <c r="D5" s="6"/>
      <c r="E5" s="7"/>
      <c r="F5" s="7"/>
      <c r="G5" s="8"/>
    </row>
    <row r="6" spans="2:10" ht="15.75" x14ac:dyDescent="0.25">
      <c r="B6" s="5"/>
      <c r="C6" s="6"/>
      <c r="D6" s="6"/>
      <c r="E6" s="7"/>
      <c r="F6" s="7"/>
      <c r="G6" s="8"/>
    </row>
    <row r="7" spans="2:10" ht="15.75" x14ac:dyDescent="0.25">
      <c r="B7" s="5"/>
      <c r="C7" s="6"/>
      <c r="D7" s="6"/>
      <c r="E7" s="7"/>
      <c r="F7" s="7"/>
      <c r="G7" s="8"/>
    </row>
    <row r="8" spans="2:10" x14ac:dyDescent="0.25">
      <c r="B8" s="68" t="s">
        <v>0</v>
      </c>
      <c r="C8" s="69"/>
      <c r="D8" s="69"/>
      <c r="E8" s="69"/>
      <c r="F8" s="69"/>
      <c r="G8" s="70"/>
    </row>
    <row r="9" spans="2:10" ht="15.75" thickBot="1" x14ac:dyDescent="0.3">
      <c r="B9" s="71"/>
      <c r="C9" s="72"/>
      <c r="D9" s="72"/>
      <c r="E9" s="72"/>
      <c r="F9" s="72"/>
      <c r="G9" s="73"/>
    </row>
    <row r="10" spans="2:10" ht="15.75" x14ac:dyDescent="0.25">
      <c r="B10" s="9"/>
      <c r="C10" s="10"/>
      <c r="D10" s="10"/>
      <c r="E10" s="10"/>
      <c r="F10" s="10"/>
      <c r="G10" s="11"/>
    </row>
    <row r="11" spans="2:10" ht="15.75" x14ac:dyDescent="0.25">
      <c r="B11" s="12" t="s">
        <v>1</v>
      </c>
      <c r="C11" s="13" t="s">
        <v>2</v>
      </c>
      <c r="D11" s="7" t="s">
        <v>18</v>
      </c>
      <c r="E11" s="7"/>
      <c r="F11" s="7" t="s">
        <v>3</v>
      </c>
      <c r="G11" s="14"/>
    </row>
    <row r="12" spans="2:10" ht="16.5" thickBot="1" x14ac:dyDescent="0.3">
      <c r="B12" s="15"/>
      <c r="C12" s="16"/>
      <c r="D12" s="16" t="s">
        <v>4</v>
      </c>
      <c r="E12" s="16"/>
      <c r="F12" s="16"/>
      <c r="G12" s="17"/>
    </row>
    <row r="13" spans="2:10" ht="16.5" thickBot="1" x14ac:dyDescent="0.3">
      <c r="B13" s="18"/>
      <c r="C13" s="19"/>
      <c r="D13" s="19"/>
      <c r="E13" s="19"/>
      <c r="F13" s="19"/>
      <c r="G13" s="20"/>
    </row>
    <row r="14" spans="2:10" ht="16.5" thickBot="1" x14ac:dyDescent="0.3">
      <c r="B14" s="21" t="s">
        <v>5</v>
      </c>
      <c r="C14" s="22" t="s">
        <v>6</v>
      </c>
      <c r="D14" s="23" t="s">
        <v>7</v>
      </c>
      <c r="E14" s="22" t="s">
        <v>8</v>
      </c>
      <c r="F14" s="24" t="s">
        <v>9</v>
      </c>
      <c r="G14" s="25" t="s">
        <v>10</v>
      </c>
    </row>
    <row r="15" spans="2:10" ht="15.75" x14ac:dyDescent="0.25">
      <c r="B15" s="26">
        <v>1</v>
      </c>
      <c r="C15" s="27" t="s">
        <v>121</v>
      </c>
      <c r="D15" s="43" t="s">
        <v>122</v>
      </c>
      <c r="E15" s="27">
        <v>1</v>
      </c>
      <c r="F15" s="28"/>
      <c r="G15" s="29">
        <f>+F15*E15</f>
        <v>0</v>
      </c>
      <c r="I15" s="30"/>
      <c r="J15" s="30"/>
    </row>
    <row r="16" spans="2:10" ht="15.75" x14ac:dyDescent="0.25">
      <c r="B16" s="26"/>
      <c r="C16" s="27"/>
      <c r="D16" s="44" t="s">
        <v>65</v>
      </c>
      <c r="E16" s="27"/>
      <c r="F16" s="28"/>
      <c r="G16" s="29"/>
      <c r="I16" s="30"/>
      <c r="J16" s="30"/>
    </row>
    <row r="17" spans="2:10" ht="15.75" x14ac:dyDescent="0.25">
      <c r="B17" s="26"/>
      <c r="C17" s="27"/>
      <c r="D17" s="44" t="s">
        <v>123</v>
      </c>
      <c r="E17" s="27"/>
      <c r="F17" s="28"/>
      <c r="G17" s="29"/>
      <c r="I17" s="30"/>
      <c r="J17" s="30"/>
    </row>
    <row r="18" spans="2:10" ht="15.75" x14ac:dyDescent="0.25">
      <c r="B18" s="26"/>
      <c r="C18" s="27"/>
      <c r="D18" s="44" t="s">
        <v>124</v>
      </c>
      <c r="E18" s="27"/>
      <c r="F18" s="28"/>
      <c r="G18" s="29"/>
      <c r="I18" s="30"/>
      <c r="J18" s="30"/>
    </row>
    <row r="19" spans="2:10" ht="15.75" x14ac:dyDescent="0.25">
      <c r="B19" s="26"/>
      <c r="C19" s="27"/>
      <c r="D19" s="44" t="s">
        <v>125</v>
      </c>
      <c r="E19" s="27"/>
      <c r="F19" s="28"/>
      <c r="G19" s="29"/>
      <c r="I19" s="30"/>
      <c r="J19" s="30"/>
    </row>
    <row r="20" spans="2:10" ht="15.75" x14ac:dyDescent="0.25">
      <c r="B20" s="26"/>
      <c r="C20" s="27"/>
      <c r="D20" s="44" t="s">
        <v>128</v>
      </c>
      <c r="E20" s="27"/>
      <c r="F20" s="28"/>
      <c r="G20" s="29"/>
      <c r="I20" s="30"/>
      <c r="J20" s="30"/>
    </row>
    <row r="21" spans="2:10" ht="15.75" x14ac:dyDescent="0.25">
      <c r="B21" s="26">
        <v>2</v>
      </c>
      <c r="C21" s="27" t="s">
        <v>6</v>
      </c>
      <c r="D21" s="45" t="s">
        <v>126</v>
      </c>
      <c r="E21" s="27">
        <v>2</v>
      </c>
      <c r="F21" s="28"/>
      <c r="G21" s="29"/>
      <c r="I21" s="30"/>
      <c r="J21" s="30"/>
    </row>
    <row r="22" spans="2:10" ht="15.75" x14ac:dyDescent="0.25">
      <c r="B22" s="26"/>
      <c r="C22" s="27"/>
      <c r="D22" s="44" t="s">
        <v>127</v>
      </c>
      <c r="E22" s="27"/>
      <c r="F22" s="28"/>
      <c r="G22" s="29"/>
      <c r="I22" s="30"/>
      <c r="J22" s="30"/>
    </row>
    <row r="23" spans="2:10" ht="15.75" x14ac:dyDescent="0.25">
      <c r="B23" s="26"/>
      <c r="C23" s="27"/>
      <c r="D23" s="44" t="s">
        <v>123</v>
      </c>
      <c r="E23" s="27"/>
      <c r="F23" s="28"/>
      <c r="G23" s="29">
        <f>+F23*E23</f>
        <v>0</v>
      </c>
      <c r="I23" s="30"/>
      <c r="J23" s="30"/>
    </row>
    <row r="24" spans="2:10" ht="15.75" x14ac:dyDescent="0.25">
      <c r="B24" s="26"/>
      <c r="C24" s="27"/>
      <c r="D24" s="44" t="s">
        <v>124</v>
      </c>
      <c r="E24" s="33"/>
      <c r="F24" s="28"/>
      <c r="G24" s="29"/>
      <c r="I24" s="30"/>
      <c r="J24" s="30"/>
    </row>
    <row r="25" spans="2:10" ht="15.75" x14ac:dyDescent="0.25">
      <c r="B25" s="26"/>
      <c r="C25" s="27"/>
      <c r="D25" s="44" t="s">
        <v>125</v>
      </c>
      <c r="E25" s="33"/>
      <c r="F25" s="28"/>
      <c r="G25" s="29"/>
      <c r="I25" s="30"/>
      <c r="J25" s="30"/>
    </row>
    <row r="26" spans="2:10" ht="15.75" x14ac:dyDescent="0.25">
      <c r="B26" s="26"/>
      <c r="C26" s="27"/>
      <c r="D26" s="44" t="s">
        <v>128</v>
      </c>
      <c r="E26" s="33"/>
      <c r="F26" s="28"/>
      <c r="G26" s="29"/>
      <c r="I26" s="30"/>
      <c r="J26" s="30"/>
    </row>
    <row r="27" spans="2:10" ht="15.75" x14ac:dyDescent="0.25">
      <c r="B27" s="26"/>
      <c r="C27" s="27"/>
      <c r="D27" s="34"/>
      <c r="E27" s="33"/>
      <c r="F27" s="28"/>
      <c r="G27" s="29"/>
      <c r="I27" s="30"/>
      <c r="J27" s="30"/>
    </row>
    <row r="28" spans="2:10" ht="15.75" x14ac:dyDescent="0.25">
      <c r="B28" s="26"/>
      <c r="C28" s="27"/>
      <c r="D28" s="31"/>
      <c r="E28" s="33"/>
      <c r="F28" s="28"/>
      <c r="G28" s="29"/>
      <c r="I28" s="30"/>
      <c r="J28" s="30"/>
    </row>
    <row r="29" spans="2:10" ht="15.75" x14ac:dyDescent="0.25">
      <c r="B29" s="26"/>
      <c r="C29" s="27"/>
      <c r="D29" s="31"/>
      <c r="E29" s="33"/>
      <c r="F29" s="28"/>
      <c r="G29" s="29"/>
      <c r="I29" s="30"/>
      <c r="J29" s="30"/>
    </row>
    <row r="30" spans="2:10" ht="15.75" x14ac:dyDescent="0.25">
      <c r="B30" s="26"/>
      <c r="C30" s="27"/>
      <c r="D30" s="31"/>
      <c r="E30" s="27"/>
      <c r="F30" s="28"/>
      <c r="G30" s="35"/>
      <c r="I30" s="30"/>
      <c r="J30" s="30"/>
    </row>
    <row r="31" spans="2:10" ht="16.5" thickBot="1" x14ac:dyDescent="0.3">
      <c r="B31" s="36"/>
      <c r="C31" s="36"/>
      <c r="D31" s="37"/>
      <c r="E31" s="74" t="s">
        <v>11</v>
      </c>
      <c r="F31" s="73"/>
      <c r="G31" s="38">
        <f>SUM(G15:G30)</f>
        <v>0</v>
      </c>
    </row>
    <row r="32" spans="2:10" ht="14.45" customHeight="1" x14ac:dyDescent="0.25">
      <c r="B32" s="75" t="s">
        <v>64</v>
      </c>
      <c r="C32" s="76"/>
      <c r="D32" s="76"/>
      <c r="E32" s="76"/>
      <c r="F32" s="76"/>
      <c r="G32" s="77"/>
    </row>
    <row r="33" spans="2:7" ht="15" customHeight="1" thickBot="1" x14ac:dyDescent="0.3">
      <c r="B33" s="78"/>
      <c r="C33" s="79"/>
      <c r="D33" s="79"/>
      <c r="E33" s="79"/>
      <c r="F33" s="79"/>
      <c r="G33" s="80"/>
    </row>
    <row r="34" spans="2:7" ht="15.75" x14ac:dyDescent="0.25">
      <c r="B34" s="9"/>
      <c r="C34" s="10"/>
      <c r="D34" s="39" t="s">
        <v>12</v>
      </c>
      <c r="E34" s="81" t="s">
        <v>13</v>
      </c>
      <c r="F34" s="81"/>
      <c r="G34" s="11"/>
    </row>
    <row r="35" spans="2:7" ht="15.75" x14ac:dyDescent="0.25">
      <c r="B35" s="18"/>
      <c r="C35" s="19"/>
      <c r="D35" s="40"/>
      <c r="E35" s="40"/>
      <c r="F35" s="40"/>
      <c r="G35" s="8"/>
    </row>
    <row r="36" spans="2:7" ht="15.75" x14ac:dyDescent="0.25">
      <c r="B36" s="18"/>
      <c r="C36" s="19"/>
      <c r="D36" s="19"/>
      <c r="E36" s="19"/>
      <c r="F36" s="19"/>
      <c r="G36" s="8"/>
    </row>
    <row r="37" spans="2:7" ht="15.75" x14ac:dyDescent="0.25">
      <c r="B37" s="18" t="s">
        <v>14</v>
      </c>
      <c r="C37" s="19"/>
      <c r="D37" s="41" t="s">
        <v>15</v>
      </c>
      <c r="E37" s="60" t="s">
        <v>16</v>
      </c>
      <c r="F37" s="60"/>
      <c r="G37" s="61"/>
    </row>
    <row r="38" spans="2:7" ht="16.5" thickBot="1" x14ac:dyDescent="0.3">
      <c r="B38" s="15" t="s">
        <v>17</v>
      </c>
      <c r="C38" s="16"/>
      <c r="D38" s="42" t="s">
        <v>35</v>
      </c>
      <c r="E38" s="62" t="s">
        <v>23</v>
      </c>
      <c r="F38" s="62"/>
      <c r="G38" s="63"/>
    </row>
  </sheetData>
  <mergeCells count="8">
    <mergeCell ref="E37:G37"/>
    <mergeCell ref="E38:G38"/>
    <mergeCell ref="B1:D1"/>
    <mergeCell ref="B2:D2"/>
    <mergeCell ref="B8:G9"/>
    <mergeCell ref="E31:F31"/>
    <mergeCell ref="B32:G33"/>
    <mergeCell ref="E34:F3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9CA8-7E92-4AE5-A8F7-F6AABB5BBD35}">
  <dimension ref="B1:J51"/>
  <sheetViews>
    <sheetView tabSelected="1" view="pageBreakPreview" topLeftCell="A13" zoomScale="85" zoomScaleNormal="100" zoomScaleSheetLayoutView="85" workbookViewId="0">
      <selection activeCell="D42" sqref="D42"/>
    </sheetView>
  </sheetViews>
  <sheetFormatPr defaultRowHeight="15" x14ac:dyDescent="0.25"/>
  <cols>
    <col min="1" max="1" width="1.140625" customWidth="1"/>
    <col min="2" max="2" width="13.28515625" customWidth="1"/>
    <col min="3" max="3" width="11.85546875" customWidth="1"/>
    <col min="4" max="4" width="69.5703125" customWidth="1"/>
    <col min="5" max="5" width="11.85546875" customWidth="1"/>
    <col min="6" max="6" width="12.5703125" bestFit="1" customWidth="1"/>
    <col min="7" max="7" width="17.5703125" customWidth="1"/>
  </cols>
  <sheetData>
    <row r="1" spans="2:10" x14ac:dyDescent="0.25">
      <c r="B1" s="64"/>
      <c r="C1" s="65"/>
      <c r="D1" s="65"/>
      <c r="E1" s="1"/>
      <c r="F1" s="1"/>
      <c r="G1" s="2"/>
    </row>
    <row r="2" spans="2:10" x14ac:dyDescent="0.25">
      <c r="B2" s="66"/>
      <c r="C2" s="67"/>
      <c r="D2" s="67"/>
      <c r="E2" s="3"/>
      <c r="F2" s="3"/>
      <c r="G2" s="4"/>
    </row>
    <row r="3" spans="2:10" ht="15.75" x14ac:dyDescent="0.25">
      <c r="B3" s="5"/>
      <c r="C3" s="6"/>
      <c r="D3" s="6"/>
      <c r="E3" s="7"/>
      <c r="F3" s="7"/>
      <c r="G3" s="8"/>
    </row>
    <row r="4" spans="2:10" ht="15.75" x14ac:dyDescent="0.25">
      <c r="B4" s="5"/>
      <c r="C4" s="6"/>
      <c r="D4" s="6"/>
      <c r="E4" s="7"/>
      <c r="F4" s="7"/>
      <c r="G4" s="8"/>
    </row>
    <row r="5" spans="2:10" ht="15.75" x14ac:dyDescent="0.25">
      <c r="B5" s="5"/>
      <c r="C5" s="6"/>
      <c r="D5" s="6"/>
      <c r="E5" s="7"/>
      <c r="F5" s="7"/>
      <c r="G5" s="8"/>
    </row>
    <row r="6" spans="2:10" ht="15.75" x14ac:dyDescent="0.25">
      <c r="B6" s="5"/>
      <c r="C6" s="6"/>
      <c r="D6" s="6"/>
      <c r="E6" s="7"/>
      <c r="F6" s="7"/>
      <c r="G6" s="8"/>
    </row>
    <row r="7" spans="2:10" ht="16.5" thickBot="1" x14ac:dyDescent="0.3">
      <c r="B7" s="5"/>
      <c r="C7" s="6"/>
      <c r="D7" s="6"/>
      <c r="E7" s="7"/>
      <c r="F7" s="7"/>
      <c r="G7" s="8"/>
    </row>
    <row r="8" spans="2:10" x14ac:dyDescent="0.25">
      <c r="B8" s="82" t="s">
        <v>0</v>
      </c>
      <c r="C8" s="83"/>
      <c r="D8" s="83"/>
      <c r="E8" s="83"/>
      <c r="F8" s="83"/>
      <c r="G8" s="84"/>
    </row>
    <row r="9" spans="2:10" ht="15.75" thickBot="1" x14ac:dyDescent="0.3">
      <c r="B9" s="71"/>
      <c r="C9" s="72"/>
      <c r="D9" s="72"/>
      <c r="E9" s="72"/>
      <c r="F9" s="72"/>
      <c r="G9" s="73"/>
    </row>
    <row r="10" spans="2:10" ht="15.75" x14ac:dyDescent="0.25">
      <c r="B10" s="9"/>
      <c r="C10" s="10"/>
      <c r="D10" s="10"/>
      <c r="E10" s="10"/>
      <c r="F10" s="10"/>
      <c r="G10" s="11"/>
    </row>
    <row r="11" spans="2:10" ht="15.75" x14ac:dyDescent="0.25">
      <c r="B11" s="12" t="s">
        <v>1</v>
      </c>
      <c r="C11" s="13" t="s">
        <v>2</v>
      </c>
      <c r="D11" s="7" t="s">
        <v>182</v>
      </c>
      <c r="E11" s="7"/>
      <c r="F11" s="7" t="s">
        <v>3</v>
      </c>
      <c r="G11" s="14" t="s">
        <v>183</v>
      </c>
    </row>
    <row r="12" spans="2:10" ht="16.5" thickBot="1" x14ac:dyDescent="0.3">
      <c r="B12" s="15"/>
      <c r="C12" s="16"/>
      <c r="D12" s="16" t="s">
        <v>4</v>
      </c>
      <c r="E12" s="16"/>
      <c r="F12" s="16"/>
      <c r="G12" s="17"/>
    </row>
    <row r="13" spans="2:10" ht="16.5" thickBot="1" x14ac:dyDescent="0.3">
      <c r="B13" s="18"/>
      <c r="C13" s="19"/>
      <c r="D13" s="19"/>
      <c r="E13" s="19"/>
      <c r="F13" s="19"/>
      <c r="G13" s="20"/>
    </row>
    <row r="14" spans="2:10" ht="16.5" thickBot="1" x14ac:dyDescent="0.3">
      <c r="B14" s="21" t="s">
        <v>5</v>
      </c>
      <c r="C14" s="22" t="s">
        <v>6</v>
      </c>
      <c r="D14" s="23" t="s">
        <v>7</v>
      </c>
      <c r="E14" s="22" t="s">
        <v>8</v>
      </c>
      <c r="F14" s="24" t="s">
        <v>9</v>
      </c>
      <c r="G14" s="25" t="s">
        <v>10</v>
      </c>
    </row>
    <row r="15" spans="2:10" ht="15.75" x14ac:dyDescent="0.25">
      <c r="B15" s="26">
        <v>1</v>
      </c>
      <c r="C15" s="27" t="s">
        <v>6</v>
      </c>
      <c r="D15" s="49" t="s">
        <v>69</v>
      </c>
      <c r="E15" s="27">
        <v>1</v>
      </c>
      <c r="F15" s="28">
        <v>37000</v>
      </c>
      <c r="G15" s="29">
        <f>+F15*E15</f>
        <v>37000</v>
      </c>
      <c r="I15" s="30"/>
      <c r="J15" s="30"/>
    </row>
    <row r="16" spans="2:10" ht="15.75" x14ac:dyDescent="0.25">
      <c r="B16" s="26"/>
      <c r="C16" s="27"/>
      <c r="D16" s="31" t="s">
        <v>65</v>
      </c>
      <c r="E16" s="27"/>
      <c r="F16" s="28"/>
      <c r="G16" s="29"/>
      <c r="I16" s="30"/>
      <c r="J16" s="30"/>
    </row>
    <row r="17" spans="2:10" ht="15.75" x14ac:dyDescent="0.25">
      <c r="B17" s="26"/>
      <c r="C17" s="27"/>
      <c r="D17" s="31" t="s">
        <v>70</v>
      </c>
      <c r="E17" s="27"/>
      <c r="F17" s="28"/>
      <c r="G17" s="29"/>
      <c r="I17" s="30"/>
      <c r="J17" s="30"/>
    </row>
    <row r="18" spans="2:10" ht="15.75" x14ac:dyDescent="0.25">
      <c r="B18" s="26"/>
      <c r="C18" s="27"/>
      <c r="D18" s="31" t="s">
        <v>71</v>
      </c>
      <c r="E18" s="27"/>
      <c r="F18" s="28"/>
      <c r="G18" s="29"/>
      <c r="I18" s="30"/>
      <c r="J18" s="30"/>
    </row>
    <row r="19" spans="2:10" ht="15.75" x14ac:dyDescent="0.25">
      <c r="B19" s="26"/>
      <c r="C19" s="27"/>
      <c r="D19" s="31" t="s">
        <v>72</v>
      </c>
      <c r="E19" s="27"/>
      <c r="F19" s="28"/>
      <c r="G19" s="29"/>
      <c r="I19" s="30"/>
      <c r="J19" s="30"/>
    </row>
    <row r="20" spans="2:10" ht="15.75" x14ac:dyDescent="0.25">
      <c r="B20" s="26"/>
      <c r="C20" s="27"/>
      <c r="D20" s="31" t="s">
        <v>73</v>
      </c>
      <c r="E20" s="27"/>
      <c r="F20" s="28"/>
      <c r="G20" s="29"/>
      <c r="I20" s="30"/>
      <c r="J20" s="30"/>
    </row>
    <row r="21" spans="2:10" ht="15.75" x14ac:dyDescent="0.25">
      <c r="B21" s="26"/>
      <c r="C21" s="27"/>
      <c r="D21" s="31" t="s">
        <v>74</v>
      </c>
      <c r="E21" s="27"/>
      <c r="F21" s="28"/>
      <c r="G21" s="29"/>
      <c r="I21" s="30"/>
      <c r="J21" s="30"/>
    </row>
    <row r="22" spans="2:10" ht="15.75" x14ac:dyDescent="0.25">
      <c r="B22" s="26"/>
      <c r="C22" s="27"/>
      <c r="D22" s="31" t="s">
        <v>75</v>
      </c>
      <c r="E22" s="27"/>
      <c r="F22" s="28"/>
      <c r="G22" s="29"/>
      <c r="I22" s="30"/>
      <c r="J22" s="30"/>
    </row>
    <row r="23" spans="2:10" ht="15.75" x14ac:dyDescent="0.25">
      <c r="B23" s="26"/>
      <c r="C23" s="27"/>
      <c r="D23" s="31" t="s">
        <v>76</v>
      </c>
      <c r="E23" s="33"/>
      <c r="F23" s="28"/>
      <c r="G23" s="29"/>
      <c r="I23" s="30"/>
      <c r="J23" s="30"/>
    </row>
    <row r="24" spans="2:10" ht="15.75" x14ac:dyDescent="0.25">
      <c r="B24" s="26"/>
      <c r="C24" s="27"/>
      <c r="D24" s="34" t="s">
        <v>77</v>
      </c>
      <c r="E24" s="33"/>
      <c r="F24" s="28"/>
      <c r="G24" s="29"/>
      <c r="I24" s="30"/>
      <c r="J24" s="30"/>
    </row>
    <row r="25" spans="2:10" ht="15.75" x14ac:dyDescent="0.25">
      <c r="B25" s="26"/>
      <c r="C25" s="27"/>
      <c r="D25" s="31" t="s">
        <v>78</v>
      </c>
      <c r="E25" s="33"/>
      <c r="F25" s="28"/>
      <c r="G25" s="29"/>
      <c r="I25" s="30"/>
      <c r="J25" s="30"/>
    </row>
    <row r="26" spans="2:10" ht="15.75" x14ac:dyDescent="0.25">
      <c r="B26" s="26">
        <v>2</v>
      </c>
      <c r="C26" s="27" t="s">
        <v>6</v>
      </c>
      <c r="D26" s="49" t="s">
        <v>69</v>
      </c>
      <c r="E26" s="33">
        <v>1</v>
      </c>
      <c r="F26" s="28">
        <v>17000</v>
      </c>
      <c r="G26" s="29">
        <f>+F26*E26</f>
        <v>17000</v>
      </c>
      <c r="I26" s="30"/>
      <c r="J26" s="30"/>
    </row>
    <row r="27" spans="2:10" ht="15.75" x14ac:dyDescent="0.25">
      <c r="B27" s="26"/>
      <c r="C27" s="27"/>
      <c r="D27" s="31" t="s">
        <v>65</v>
      </c>
      <c r="E27" s="33"/>
      <c r="F27" s="28"/>
      <c r="G27" s="29"/>
      <c r="I27" s="30"/>
      <c r="J27" s="30"/>
    </row>
    <row r="28" spans="2:10" ht="15.75" x14ac:dyDescent="0.25">
      <c r="B28" s="26"/>
      <c r="C28" s="27"/>
      <c r="D28" s="31" t="s">
        <v>79</v>
      </c>
      <c r="E28" s="33"/>
      <c r="F28" s="28"/>
      <c r="G28" s="29"/>
      <c r="I28" s="30"/>
      <c r="J28" s="30"/>
    </row>
    <row r="29" spans="2:10" ht="15.75" x14ac:dyDescent="0.25">
      <c r="B29" s="26"/>
      <c r="C29" s="27"/>
      <c r="D29" s="31" t="s">
        <v>80</v>
      </c>
      <c r="E29" s="33"/>
      <c r="F29" s="28"/>
      <c r="G29" s="29"/>
      <c r="I29" s="30"/>
      <c r="J29" s="30"/>
    </row>
    <row r="30" spans="2:10" ht="15.75" x14ac:dyDescent="0.25">
      <c r="B30" s="26"/>
      <c r="C30" s="27"/>
      <c r="D30" s="31" t="s">
        <v>81</v>
      </c>
      <c r="E30" s="33"/>
      <c r="F30" s="28"/>
      <c r="G30" s="29"/>
      <c r="I30" s="30"/>
      <c r="J30" s="30"/>
    </row>
    <row r="31" spans="2:10" ht="15.75" x14ac:dyDescent="0.25">
      <c r="B31" s="26"/>
      <c r="C31" s="27"/>
      <c r="D31" s="31" t="s">
        <v>82</v>
      </c>
      <c r="E31" s="33"/>
      <c r="F31" s="28"/>
      <c r="G31" s="29"/>
      <c r="I31" s="30"/>
      <c r="J31" s="30"/>
    </row>
    <row r="32" spans="2:10" ht="15.75" x14ac:dyDescent="0.25">
      <c r="B32" s="26"/>
      <c r="C32" s="27"/>
      <c r="D32" s="31" t="s">
        <v>83</v>
      </c>
      <c r="E32" s="33"/>
      <c r="F32" s="28"/>
      <c r="G32" s="29"/>
      <c r="I32" s="30"/>
      <c r="J32" s="30"/>
    </row>
    <row r="33" spans="2:10" ht="15.75" x14ac:dyDescent="0.25">
      <c r="B33" s="26"/>
      <c r="C33" s="27"/>
      <c r="D33" s="31" t="s">
        <v>84</v>
      </c>
      <c r="E33" s="33"/>
      <c r="F33" s="28"/>
      <c r="G33" s="29"/>
      <c r="I33" s="30"/>
      <c r="J33" s="30"/>
    </row>
    <row r="34" spans="2:10" ht="15.75" x14ac:dyDescent="0.25">
      <c r="B34" s="26"/>
      <c r="C34" s="27"/>
      <c r="D34" s="31" t="s">
        <v>78</v>
      </c>
      <c r="E34" s="33"/>
      <c r="F34" s="28"/>
      <c r="G34" s="29"/>
      <c r="I34" s="30"/>
      <c r="J34" s="30"/>
    </row>
    <row r="35" spans="2:10" ht="15.75" x14ac:dyDescent="0.25">
      <c r="B35" s="26">
        <v>3</v>
      </c>
      <c r="C35" s="27" t="s">
        <v>6</v>
      </c>
      <c r="D35" s="49" t="s">
        <v>176</v>
      </c>
      <c r="E35" s="33">
        <v>1</v>
      </c>
      <c r="F35" s="28">
        <v>28000</v>
      </c>
      <c r="G35" s="29">
        <f>+F35*E35</f>
        <v>28000</v>
      </c>
      <c r="I35" s="56" t="s">
        <v>180</v>
      </c>
      <c r="J35" s="30"/>
    </row>
    <row r="36" spans="2:10" ht="15.75" x14ac:dyDescent="0.25">
      <c r="B36" s="26"/>
      <c r="C36" s="27"/>
      <c r="D36" s="31" t="s">
        <v>65</v>
      </c>
      <c r="E36" s="33"/>
      <c r="F36" s="28"/>
      <c r="G36" s="29"/>
      <c r="I36" s="30"/>
      <c r="J36" s="30"/>
    </row>
    <row r="37" spans="2:10" ht="15.75" x14ac:dyDescent="0.25">
      <c r="B37" s="26"/>
      <c r="C37" s="27"/>
      <c r="D37" s="31" t="s">
        <v>86</v>
      </c>
      <c r="E37" s="33"/>
      <c r="F37" s="28"/>
      <c r="G37" s="29"/>
      <c r="I37" s="30"/>
      <c r="J37" s="30"/>
    </row>
    <row r="38" spans="2:10" ht="15.75" x14ac:dyDescent="0.25">
      <c r="B38" s="26"/>
      <c r="C38" s="27"/>
      <c r="D38" s="31" t="s">
        <v>177</v>
      </c>
      <c r="E38" s="33"/>
      <c r="F38" s="28"/>
      <c r="G38" s="29"/>
      <c r="I38" s="30"/>
      <c r="J38" s="30"/>
    </row>
    <row r="39" spans="2:10" ht="15.75" x14ac:dyDescent="0.25">
      <c r="B39" s="26"/>
      <c r="C39" s="27"/>
      <c r="D39" s="31" t="s">
        <v>178</v>
      </c>
      <c r="E39" s="33"/>
      <c r="F39" s="28"/>
      <c r="G39" s="29"/>
      <c r="I39" s="30"/>
      <c r="J39" s="30"/>
    </row>
    <row r="40" spans="2:10" ht="15.75" x14ac:dyDescent="0.25">
      <c r="B40" s="26"/>
      <c r="C40" s="27"/>
      <c r="D40" s="31" t="s">
        <v>179</v>
      </c>
      <c r="E40" s="33"/>
      <c r="F40" s="28"/>
      <c r="G40" s="29"/>
      <c r="I40" s="30"/>
      <c r="J40" s="30"/>
    </row>
    <row r="41" spans="2:10" ht="15.75" x14ac:dyDescent="0.25">
      <c r="B41" s="26"/>
      <c r="C41" s="27"/>
      <c r="D41" s="31" t="s">
        <v>181</v>
      </c>
      <c r="E41" s="33"/>
      <c r="F41" s="28"/>
      <c r="G41" s="29"/>
      <c r="I41" s="30"/>
      <c r="J41" s="30"/>
    </row>
    <row r="42" spans="2:10" ht="15.75" x14ac:dyDescent="0.25">
      <c r="B42" s="26"/>
      <c r="C42" s="27"/>
      <c r="D42" s="31" t="s">
        <v>93</v>
      </c>
      <c r="E42" s="33"/>
      <c r="F42" s="28"/>
      <c r="G42" s="29"/>
      <c r="I42" s="30"/>
      <c r="J42" s="30"/>
    </row>
    <row r="43" spans="2:10" ht="16.5" thickBot="1" x14ac:dyDescent="0.3">
      <c r="B43" s="26"/>
      <c r="C43" s="27"/>
      <c r="D43" s="31" t="s">
        <v>78</v>
      </c>
      <c r="E43" s="33"/>
      <c r="F43" s="28"/>
      <c r="G43" s="29"/>
      <c r="I43" s="30"/>
      <c r="J43" s="30"/>
    </row>
    <row r="44" spans="2:10" ht="16.5" thickBot="1" x14ac:dyDescent="0.3">
      <c r="B44" s="51"/>
      <c r="C44" s="51"/>
      <c r="D44" s="18"/>
      <c r="E44" s="85" t="s">
        <v>11</v>
      </c>
      <c r="F44" s="86"/>
      <c r="G44" s="55">
        <f>SUM(G15:G43)</f>
        <v>82000</v>
      </c>
    </row>
    <row r="45" spans="2:10" x14ac:dyDescent="0.25">
      <c r="B45" s="75" t="s">
        <v>175</v>
      </c>
      <c r="C45" s="76"/>
      <c r="D45" s="76"/>
      <c r="E45" s="76"/>
      <c r="F45" s="76"/>
      <c r="G45" s="77"/>
    </row>
    <row r="46" spans="2:10" ht="15.75" thickBot="1" x14ac:dyDescent="0.3">
      <c r="B46" s="87"/>
      <c r="C46" s="88"/>
      <c r="D46" s="88"/>
      <c r="E46" s="88"/>
      <c r="F46" s="88"/>
      <c r="G46" s="89"/>
    </row>
    <row r="47" spans="2:10" ht="15.75" x14ac:dyDescent="0.25">
      <c r="B47" s="9"/>
      <c r="C47" s="10"/>
      <c r="D47" s="39" t="s">
        <v>12</v>
      </c>
      <c r="E47" s="81" t="s">
        <v>13</v>
      </c>
      <c r="F47" s="81"/>
      <c r="G47" s="11"/>
    </row>
    <row r="48" spans="2:10" ht="15.75" x14ac:dyDescent="0.25">
      <c r="B48" s="18"/>
      <c r="C48" s="19"/>
      <c r="D48" s="40"/>
      <c r="E48" s="40"/>
      <c r="F48" s="40"/>
      <c r="G48" s="8"/>
    </row>
    <row r="49" spans="2:7" ht="15.75" x14ac:dyDescent="0.25">
      <c r="B49" s="18"/>
      <c r="C49" s="19"/>
      <c r="D49" s="19"/>
      <c r="E49" s="19"/>
      <c r="F49" s="19"/>
      <c r="G49" s="8"/>
    </row>
    <row r="50" spans="2:7" ht="15.75" x14ac:dyDescent="0.25">
      <c r="B50" s="18" t="s">
        <v>14</v>
      </c>
      <c r="C50" s="19"/>
      <c r="D50" s="41" t="s">
        <v>15</v>
      </c>
      <c r="E50" s="60" t="s">
        <v>16</v>
      </c>
      <c r="F50" s="60"/>
      <c r="G50" s="61"/>
    </row>
    <row r="51" spans="2:7" ht="16.5" thickBot="1" x14ac:dyDescent="0.3">
      <c r="B51" s="15" t="s">
        <v>17</v>
      </c>
      <c r="C51" s="16"/>
      <c r="D51" s="42" t="s">
        <v>103</v>
      </c>
      <c r="E51" s="62" t="s">
        <v>104</v>
      </c>
      <c r="F51" s="62"/>
      <c r="G51" s="63"/>
    </row>
  </sheetData>
  <mergeCells count="8">
    <mergeCell ref="E50:G50"/>
    <mergeCell ref="E51:G51"/>
    <mergeCell ref="B1:D1"/>
    <mergeCell ref="B2:D2"/>
    <mergeCell ref="B8:G9"/>
    <mergeCell ref="E44:F44"/>
    <mergeCell ref="B45:G46"/>
    <mergeCell ref="E47:F47"/>
  </mergeCells>
  <hyperlinks>
    <hyperlink ref="I35" r:id="rId1" display="https://shopee.ph/AD-ACT-9460-4-Professional-Wireless-Microphone-System-UHF-650MHz-200CH-AD-i.456285788.12599063720?extraParams=%7B%22display_model_id%22%3A167795955264%2C%22model_selection_logic%22%3A3%7D&amp;sp_atk=298f1580-e47a-435e-80fc-d533d913989b&amp;xptdk=298f1580-e47a-435e-80fc-d533d913989b" xr:uid="{E6B750BC-7E4B-4B4D-AD27-FCA3AF956354}"/>
  </hyperlinks>
  <pageMargins left="0" right="0" top="0" bottom="0" header="0" footer="0"/>
  <pageSetup paperSize="9" scale="74" orientation="portrait" horizontalDpi="0" verticalDpi="0" r:id="rId2"/>
  <colBreaks count="1" manualBreakCount="1">
    <brk id="7" max="1048575" man="1"/>
  </colBrea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A5B0A-CF77-49BE-A670-30B95029943D}">
  <dimension ref="B1:J38"/>
  <sheetViews>
    <sheetView topLeftCell="A6" workbookViewId="0">
      <selection activeCell="B34" sqref="A1:XFD1048576"/>
    </sheetView>
  </sheetViews>
  <sheetFormatPr defaultRowHeight="15" x14ac:dyDescent="0.25"/>
  <cols>
    <col min="1" max="1" width="1.140625" customWidth="1"/>
    <col min="2" max="2" width="13.28515625" customWidth="1"/>
    <col min="3" max="3" width="11.85546875" customWidth="1"/>
    <col min="4" max="4" width="69.5703125" customWidth="1"/>
    <col min="5" max="5" width="11.85546875" customWidth="1"/>
    <col min="6" max="6" width="14.28515625" bestFit="1" customWidth="1"/>
    <col min="7" max="7" width="17.5703125" customWidth="1"/>
  </cols>
  <sheetData>
    <row r="1" spans="2:10" x14ac:dyDescent="0.25">
      <c r="B1" s="64"/>
      <c r="C1" s="65"/>
      <c r="D1" s="65"/>
      <c r="E1" s="1"/>
      <c r="F1" s="1"/>
      <c r="G1" s="2"/>
    </row>
    <row r="2" spans="2:10" x14ac:dyDescent="0.25">
      <c r="B2" s="66"/>
      <c r="C2" s="67"/>
      <c r="D2" s="67"/>
      <c r="E2" s="3"/>
      <c r="F2" s="3"/>
      <c r="G2" s="4"/>
    </row>
    <row r="3" spans="2:10" ht="15.75" x14ac:dyDescent="0.25">
      <c r="B3" s="5"/>
      <c r="C3" s="6"/>
      <c r="D3" s="6"/>
      <c r="E3" s="7"/>
      <c r="F3" s="7"/>
      <c r="G3" s="8"/>
    </row>
    <row r="4" spans="2:10" ht="15.75" x14ac:dyDescent="0.25">
      <c r="B4" s="5"/>
      <c r="C4" s="6"/>
      <c r="D4" s="6"/>
      <c r="E4" s="7"/>
      <c r="F4" s="7"/>
      <c r="G4" s="8"/>
    </row>
    <row r="5" spans="2:10" ht="15.75" x14ac:dyDescent="0.25">
      <c r="B5" s="5"/>
      <c r="C5" s="6"/>
      <c r="D5" s="6"/>
      <c r="E5" s="7"/>
      <c r="F5" s="7"/>
      <c r="G5" s="8"/>
    </row>
    <row r="6" spans="2:10" ht="15.75" x14ac:dyDescent="0.25">
      <c r="B6" s="5"/>
      <c r="C6" s="6"/>
      <c r="D6" s="6"/>
      <c r="E6" s="7"/>
      <c r="F6" s="7"/>
      <c r="G6" s="8"/>
    </row>
    <row r="7" spans="2:10" ht="15.75" x14ac:dyDescent="0.25">
      <c r="B7" s="5"/>
      <c r="C7" s="6"/>
      <c r="D7" s="6"/>
      <c r="E7" s="7"/>
      <c r="F7" s="7"/>
      <c r="G7" s="8"/>
    </row>
    <row r="8" spans="2:10" x14ac:dyDescent="0.25">
      <c r="B8" s="68" t="s">
        <v>0</v>
      </c>
      <c r="C8" s="69"/>
      <c r="D8" s="69"/>
      <c r="E8" s="69"/>
      <c r="F8" s="69"/>
      <c r="G8" s="70"/>
    </row>
    <row r="9" spans="2:10" ht="15.75" thickBot="1" x14ac:dyDescent="0.3">
      <c r="B9" s="71"/>
      <c r="C9" s="72"/>
      <c r="D9" s="72"/>
      <c r="E9" s="72"/>
      <c r="F9" s="72"/>
      <c r="G9" s="73"/>
    </row>
    <row r="10" spans="2:10" ht="15.75" x14ac:dyDescent="0.25">
      <c r="B10" s="9"/>
      <c r="C10" s="10"/>
      <c r="D10" s="10"/>
      <c r="E10" s="10"/>
      <c r="F10" s="10"/>
      <c r="G10" s="11"/>
    </row>
    <row r="11" spans="2:10" ht="15.75" x14ac:dyDescent="0.25">
      <c r="B11" s="12" t="s">
        <v>1</v>
      </c>
      <c r="C11" s="13" t="s">
        <v>2</v>
      </c>
      <c r="D11" s="7" t="s">
        <v>18</v>
      </c>
      <c r="E11" s="7"/>
      <c r="F11" s="7" t="s">
        <v>3</v>
      </c>
      <c r="G11" s="14"/>
    </row>
    <row r="12" spans="2:10" ht="16.5" thickBot="1" x14ac:dyDescent="0.3">
      <c r="B12" s="15"/>
      <c r="C12" s="16"/>
      <c r="D12" s="16" t="s">
        <v>4</v>
      </c>
      <c r="E12" s="16"/>
      <c r="F12" s="16"/>
      <c r="G12" s="17"/>
    </row>
    <row r="13" spans="2:10" ht="16.5" thickBot="1" x14ac:dyDescent="0.3">
      <c r="B13" s="18"/>
      <c r="C13" s="19"/>
      <c r="D13" s="19"/>
      <c r="E13" s="19"/>
      <c r="F13" s="19"/>
      <c r="G13" s="20"/>
    </row>
    <row r="14" spans="2:10" ht="16.5" thickBot="1" x14ac:dyDescent="0.3">
      <c r="B14" s="21" t="s">
        <v>5</v>
      </c>
      <c r="C14" s="22" t="s">
        <v>6</v>
      </c>
      <c r="D14" s="23" t="s">
        <v>7</v>
      </c>
      <c r="E14" s="22" t="s">
        <v>8</v>
      </c>
      <c r="F14" s="24" t="s">
        <v>9</v>
      </c>
      <c r="G14" s="25" t="s">
        <v>10</v>
      </c>
    </row>
    <row r="15" spans="2:10" ht="15.75" x14ac:dyDescent="0.25">
      <c r="B15" s="26">
        <v>1</v>
      </c>
      <c r="C15" s="27" t="s">
        <v>121</v>
      </c>
      <c r="D15" s="43" t="s">
        <v>129</v>
      </c>
      <c r="E15" s="27">
        <v>10</v>
      </c>
      <c r="F15" s="28">
        <v>4500</v>
      </c>
      <c r="G15" s="29">
        <f>+F15*E15</f>
        <v>45000</v>
      </c>
      <c r="I15" s="30"/>
      <c r="J15" s="30"/>
    </row>
    <row r="16" spans="2:10" ht="15.75" x14ac:dyDescent="0.25">
      <c r="B16" s="26"/>
      <c r="C16" s="27"/>
      <c r="D16" s="44" t="s">
        <v>65</v>
      </c>
      <c r="E16" s="27"/>
      <c r="F16" s="28"/>
      <c r="G16" s="29"/>
      <c r="I16" s="30"/>
      <c r="J16" s="30"/>
    </row>
    <row r="17" spans="2:10" ht="15.75" x14ac:dyDescent="0.25">
      <c r="B17" s="26"/>
      <c r="C17" s="27"/>
      <c r="D17" s="44" t="s">
        <v>130</v>
      </c>
      <c r="E17" s="27"/>
      <c r="F17" s="28"/>
      <c r="G17" s="29"/>
      <c r="I17" s="30"/>
      <c r="J17" s="30"/>
    </row>
    <row r="18" spans="2:10" ht="15.75" x14ac:dyDescent="0.25">
      <c r="B18" s="26"/>
      <c r="C18" s="27"/>
      <c r="D18" s="44"/>
      <c r="E18" s="27"/>
      <c r="F18" s="28"/>
      <c r="G18" s="29"/>
      <c r="I18" s="30"/>
      <c r="J18" s="30"/>
    </row>
    <row r="19" spans="2:10" ht="15.75" x14ac:dyDescent="0.25">
      <c r="B19" s="26"/>
      <c r="C19" s="27"/>
      <c r="D19" s="44"/>
      <c r="E19" s="27"/>
      <c r="F19" s="28"/>
      <c r="G19" s="29"/>
      <c r="I19" s="30"/>
      <c r="J19" s="30"/>
    </row>
    <row r="20" spans="2:10" ht="15.75" x14ac:dyDescent="0.25">
      <c r="B20" s="26"/>
      <c r="C20" s="27"/>
      <c r="D20" s="44"/>
      <c r="E20" s="27"/>
      <c r="F20" s="28"/>
      <c r="G20" s="29"/>
      <c r="I20" s="30"/>
      <c r="J20" s="30"/>
    </row>
    <row r="21" spans="2:10" ht="15.75" x14ac:dyDescent="0.25">
      <c r="B21" s="26"/>
      <c r="C21" s="27"/>
      <c r="D21" s="45"/>
      <c r="E21" s="27"/>
      <c r="F21" s="28"/>
      <c r="G21" s="29"/>
      <c r="I21" s="30"/>
      <c r="J21" s="30"/>
    </row>
    <row r="22" spans="2:10" ht="15.75" x14ac:dyDescent="0.25">
      <c r="B22" s="26"/>
      <c r="C22" s="27"/>
      <c r="D22" s="44"/>
      <c r="E22" s="27"/>
      <c r="F22" s="28"/>
      <c r="G22" s="29"/>
      <c r="I22" s="30"/>
      <c r="J22" s="30"/>
    </row>
    <row r="23" spans="2:10" ht="15.75" x14ac:dyDescent="0.25">
      <c r="B23" s="26"/>
      <c r="C23" s="27"/>
      <c r="D23" s="44"/>
      <c r="E23" s="27"/>
      <c r="F23" s="28"/>
      <c r="G23" s="29">
        <f>+F23*E23</f>
        <v>0</v>
      </c>
      <c r="I23" s="30"/>
      <c r="J23" s="30"/>
    </row>
    <row r="24" spans="2:10" ht="15.75" x14ac:dyDescent="0.25">
      <c r="B24" s="26"/>
      <c r="C24" s="27"/>
      <c r="D24" s="44"/>
      <c r="E24" s="33"/>
      <c r="F24" s="28"/>
      <c r="G24" s="29"/>
      <c r="I24" s="30"/>
      <c r="J24" s="30"/>
    </row>
    <row r="25" spans="2:10" ht="15.75" x14ac:dyDescent="0.25">
      <c r="B25" s="26"/>
      <c r="C25" s="27"/>
      <c r="D25" s="44"/>
      <c r="E25" s="33"/>
      <c r="F25" s="28"/>
      <c r="G25" s="29"/>
      <c r="I25" s="30"/>
      <c r="J25" s="30"/>
    </row>
    <row r="26" spans="2:10" ht="15.75" x14ac:dyDescent="0.25">
      <c r="B26" s="26"/>
      <c r="C26" s="27"/>
      <c r="D26" s="44"/>
      <c r="E26" s="33"/>
      <c r="F26" s="28"/>
      <c r="G26" s="29"/>
      <c r="I26" s="30"/>
      <c r="J26" s="30"/>
    </row>
    <row r="27" spans="2:10" ht="15.75" x14ac:dyDescent="0.25">
      <c r="B27" s="26"/>
      <c r="C27" s="27"/>
      <c r="D27" s="34"/>
      <c r="E27" s="33"/>
      <c r="F27" s="28"/>
      <c r="G27" s="29"/>
      <c r="I27" s="30"/>
      <c r="J27" s="30"/>
    </row>
    <row r="28" spans="2:10" ht="15.75" x14ac:dyDescent="0.25">
      <c r="B28" s="26"/>
      <c r="C28" s="27"/>
      <c r="D28" s="31"/>
      <c r="E28" s="33"/>
      <c r="F28" s="28"/>
      <c r="G28" s="29"/>
      <c r="I28" s="30"/>
      <c r="J28" s="30"/>
    </row>
    <row r="29" spans="2:10" ht="15.75" x14ac:dyDescent="0.25">
      <c r="B29" s="26"/>
      <c r="C29" s="27"/>
      <c r="D29" s="31"/>
      <c r="E29" s="33"/>
      <c r="F29" s="28"/>
      <c r="G29" s="29"/>
      <c r="I29" s="30"/>
      <c r="J29" s="30"/>
    </row>
    <row r="30" spans="2:10" ht="15.75" x14ac:dyDescent="0.25">
      <c r="B30" s="26"/>
      <c r="C30" s="27"/>
      <c r="D30" s="31"/>
      <c r="E30" s="27"/>
      <c r="F30" s="28"/>
      <c r="G30" s="35"/>
      <c r="I30" s="30"/>
      <c r="J30" s="30"/>
    </row>
    <row r="31" spans="2:10" ht="16.5" thickBot="1" x14ac:dyDescent="0.3">
      <c r="B31" s="36"/>
      <c r="C31" s="36"/>
      <c r="D31" s="37"/>
      <c r="E31" s="74" t="s">
        <v>11</v>
      </c>
      <c r="F31" s="73"/>
      <c r="G31" s="38">
        <f>SUM(G15:G30)</f>
        <v>45000</v>
      </c>
    </row>
    <row r="32" spans="2:10" ht="14.45" customHeight="1" x14ac:dyDescent="0.25">
      <c r="B32" s="75" t="s">
        <v>131</v>
      </c>
      <c r="C32" s="76"/>
      <c r="D32" s="76"/>
      <c r="E32" s="76"/>
      <c r="F32" s="76"/>
      <c r="G32" s="77"/>
    </row>
    <row r="33" spans="2:7" ht="15" customHeight="1" thickBot="1" x14ac:dyDescent="0.3">
      <c r="B33" s="78"/>
      <c r="C33" s="79"/>
      <c r="D33" s="79"/>
      <c r="E33" s="79"/>
      <c r="F33" s="79"/>
      <c r="G33" s="80"/>
    </row>
    <row r="34" spans="2:7" ht="15.75" x14ac:dyDescent="0.25">
      <c r="B34" s="9"/>
      <c r="C34" s="10"/>
      <c r="D34" s="39" t="s">
        <v>12</v>
      </c>
      <c r="E34" s="81" t="s">
        <v>13</v>
      </c>
      <c r="F34" s="81"/>
      <c r="G34" s="11"/>
    </row>
    <row r="35" spans="2:7" ht="15.75" x14ac:dyDescent="0.25">
      <c r="B35" s="18"/>
      <c r="C35" s="19"/>
      <c r="D35" s="40"/>
      <c r="E35" s="40"/>
      <c r="F35" s="40"/>
      <c r="G35" s="8"/>
    </row>
    <row r="36" spans="2:7" ht="15.75" x14ac:dyDescent="0.25">
      <c r="B36" s="18"/>
      <c r="C36" s="19"/>
      <c r="D36" s="19"/>
      <c r="E36" s="19"/>
      <c r="F36" s="19"/>
      <c r="G36" s="8"/>
    </row>
    <row r="37" spans="2:7" ht="15.75" x14ac:dyDescent="0.25">
      <c r="B37" s="18" t="s">
        <v>14</v>
      </c>
      <c r="C37" s="19"/>
      <c r="D37" s="41" t="s">
        <v>15</v>
      </c>
      <c r="E37" s="60" t="s">
        <v>16</v>
      </c>
      <c r="F37" s="60"/>
      <c r="G37" s="61"/>
    </row>
    <row r="38" spans="2:7" ht="16.5" thickBot="1" x14ac:dyDescent="0.3">
      <c r="B38" s="15" t="s">
        <v>17</v>
      </c>
      <c r="C38" s="16"/>
      <c r="D38" s="42" t="s">
        <v>35</v>
      </c>
      <c r="E38" s="62" t="s">
        <v>23</v>
      </c>
      <c r="F38" s="62"/>
      <c r="G38" s="63"/>
    </row>
  </sheetData>
  <mergeCells count="8">
    <mergeCell ref="E37:G37"/>
    <mergeCell ref="E38:G38"/>
    <mergeCell ref="B1:D1"/>
    <mergeCell ref="B2:D2"/>
    <mergeCell ref="B8:G9"/>
    <mergeCell ref="E31:F31"/>
    <mergeCell ref="B32:G33"/>
    <mergeCell ref="E34:F3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20F86-31B4-4311-9E15-E1F11D9F72C8}">
  <dimension ref="B1:N38"/>
  <sheetViews>
    <sheetView topLeftCell="C1" workbookViewId="0">
      <selection activeCell="R20" sqref="R20"/>
    </sheetView>
  </sheetViews>
  <sheetFormatPr defaultRowHeight="15" x14ac:dyDescent="0.25"/>
  <cols>
    <col min="1" max="1" width="1.140625" customWidth="1"/>
    <col min="2" max="2" width="13.28515625" customWidth="1"/>
    <col min="3" max="3" width="11.85546875" customWidth="1"/>
    <col min="4" max="4" width="69.5703125" customWidth="1"/>
    <col min="5" max="5" width="11.85546875" customWidth="1"/>
    <col min="6" max="6" width="14.28515625" bestFit="1" customWidth="1"/>
    <col min="7" max="7" width="17.5703125" customWidth="1"/>
    <col min="9" max="9" width="0" style="57" hidden="1" customWidth="1"/>
    <col min="10" max="15" width="0" hidden="1" customWidth="1"/>
  </cols>
  <sheetData>
    <row r="1" spans="2:14" x14ac:dyDescent="0.25">
      <c r="B1" s="64"/>
      <c r="C1" s="65"/>
      <c r="D1" s="65"/>
      <c r="E1" s="1"/>
      <c r="F1" s="1"/>
      <c r="G1" s="2"/>
    </row>
    <row r="2" spans="2:14" x14ac:dyDescent="0.25">
      <c r="B2" s="66"/>
      <c r="C2" s="67"/>
      <c r="D2" s="67"/>
      <c r="E2" s="3"/>
      <c r="F2" s="3"/>
      <c r="G2" s="4"/>
    </row>
    <row r="3" spans="2:14" ht="15.75" x14ac:dyDescent="0.25">
      <c r="B3" s="5"/>
      <c r="C3" s="6"/>
      <c r="D3" s="6"/>
      <c r="E3" s="7"/>
      <c r="F3" s="7"/>
      <c r="G3" s="8"/>
    </row>
    <row r="4" spans="2:14" ht="15.75" x14ac:dyDescent="0.25">
      <c r="B4" s="5"/>
      <c r="C4" s="6"/>
      <c r="D4" s="6"/>
      <c r="E4" s="7"/>
      <c r="F4" s="7"/>
      <c r="G4" s="8"/>
    </row>
    <row r="5" spans="2:14" ht="15.75" x14ac:dyDescent="0.25">
      <c r="B5" s="5"/>
      <c r="C5" s="6"/>
      <c r="D5" s="6"/>
      <c r="E5" s="7"/>
      <c r="F5" s="7"/>
      <c r="G5" s="8"/>
    </row>
    <row r="6" spans="2:14" ht="15.75" x14ac:dyDescent="0.25">
      <c r="B6" s="5"/>
      <c r="C6" s="6"/>
      <c r="D6" s="6"/>
      <c r="E6" s="7"/>
      <c r="F6" s="7"/>
      <c r="G6" s="8"/>
      <c r="N6" s="59">
        <f>+G31</f>
        <v>0</v>
      </c>
    </row>
    <row r="7" spans="2:14" ht="15.75" x14ac:dyDescent="0.25">
      <c r="B7" s="5"/>
      <c r="C7" s="6"/>
      <c r="D7" s="6"/>
      <c r="E7" s="7"/>
      <c r="F7" s="7"/>
      <c r="G7" s="8"/>
      <c r="M7" s="58">
        <v>0.05</v>
      </c>
      <c r="N7">
        <f>+(N6/1.12)*M7</f>
        <v>0</v>
      </c>
    </row>
    <row r="8" spans="2:14" x14ac:dyDescent="0.25">
      <c r="B8" s="68" t="s">
        <v>0</v>
      </c>
      <c r="C8" s="69"/>
      <c r="D8" s="69"/>
      <c r="E8" s="69"/>
      <c r="F8" s="69"/>
      <c r="G8" s="70"/>
      <c r="M8" s="58">
        <v>0.01</v>
      </c>
      <c r="N8">
        <f>+(N6/1.12)*M8</f>
        <v>0</v>
      </c>
    </row>
    <row r="9" spans="2:14" ht="15.75" thickBot="1" x14ac:dyDescent="0.3">
      <c r="B9" s="71"/>
      <c r="C9" s="72"/>
      <c r="D9" s="72"/>
      <c r="E9" s="72"/>
      <c r="F9" s="72"/>
      <c r="G9" s="73"/>
      <c r="L9" t="s">
        <v>193</v>
      </c>
      <c r="N9">
        <f>SUM(N7:N8)</f>
        <v>0</v>
      </c>
    </row>
    <row r="10" spans="2:14" ht="15.75" x14ac:dyDescent="0.25">
      <c r="B10" s="9"/>
      <c r="C10" s="10"/>
      <c r="D10" s="10"/>
      <c r="E10" s="10"/>
      <c r="F10" s="10"/>
      <c r="G10" s="11"/>
      <c r="L10" t="s">
        <v>194</v>
      </c>
      <c r="N10" s="59">
        <f>+N6-N9</f>
        <v>0</v>
      </c>
    </row>
    <row r="11" spans="2:14" ht="15.75" x14ac:dyDescent="0.25">
      <c r="B11" s="12" t="s">
        <v>1</v>
      </c>
      <c r="C11" s="13" t="s">
        <v>2</v>
      </c>
      <c r="D11" s="7" t="s">
        <v>18</v>
      </c>
      <c r="E11" s="7"/>
      <c r="F11" s="7" t="s">
        <v>3</v>
      </c>
      <c r="G11" s="14"/>
      <c r="L11" s="58">
        <v>0.25</v>
      </c>
      <c r="N11">
        <f>+N10*L11</f>
        <v>0</v>
      </c>
    </row>
    <row r="12" spans="2:14" ht="16.5" thickBot="1" x14ac:dyDescent="0.3">
      <c r="B12" s="15"/>
      <c r="C12" s="16"/>
      <c r="D12" s="16" t="s">
        <v>4</v>
      </c>
      <c r="E12" s="16"/>
      <c r="F12" s="16"/>
      <c r="G12" s="17"/>
      <c r="L12" t="s">
        <v>195</v>
      </c>
      <c r="N12" s="59">
        <f>+N10-N11</f>
        <v>0</v>
      </c>
    </row>
    <row r="13" spans="2:14" ht="16.5" thickBot="1" x14ac:dyDescent="0.3">
      <c r="B13" s="18"/>
      <c r="C13" s="19"/>
      <c r="D13" s="19"/>
      <c r="E13" s="19"/>
      <c r="F13" s="19"/>
      <c r="G13" s="20"/>
    </row>
    <row r="14" spans="2:14" ht="16.5" thickBot="1" x14ac:dyDescent="0.3">
      <c r="B14" s="21" t="s">
        <v>5</v>
      </c>
      <c r="C14" s="22" t="s">
        <v>6</v>
      </c>
      <c r="D14" s="23" t="s">
        <v>7</v>
      </c>
      <c r="E14" s="22" t="s">
        <v>8</v>
      </c>
      <c r="F14" s="24" t="s">
        <v>9</v>
      </c>
      <c r="G14" s="25" t="s">
        <v>10</v>
      </c>
    </row>
    <row r="15" spans="2:14" ht="15.75" x14ac:dyDescent="0.25">
      <c r="B15" s="26"/>
      <c r="C15" s="27" t="s">
        <v>29</v>
      </c>
      <c r="D15" s="43" t="s">
        <v>184</v>
      </c>
      <c r="E15" s="27">
        <v>20</v>
      </c>
      <c r="F15" s="28"/>
      <c r="G15" s="29">
        <f>+F15*E15</f>
        <v>0</v>
      </c>
      <c r="I15" s="57">
        <v>350</v>
      </c>
      <c r="J15" s="30"/>
    </row>
    <row r="16" spans="2:14" ht="15.75" x14ac:dyDescent="0.25">
      <c r="B16" s="26"/>
      <c r="C16" s="27"/>
      <c r="D16" s="44" t="s">
        <v>185</v>
      </c>
      <c r="E16" s="27">
        <v>20</v>
      </c>
      <c r="F16" s="28"/>
      <c r="G16" s="29"/>
      <c r="I16" s="57">
        <v>150</v>
      </c>
      <c r="J16" s="30"/>
    </row>
    <row r="17" spans="2:10" ht="15.75" x14ac:dyDescent="0.25">
      <c r="B17" s="26"/>
      <c r="C17" s="27"/>
      <c r="D17" s="44" t="s">
        <v>186</v>
      </c>
      <c r="E17" s="27">
        <v>20</v>
      </c>
      <c r="F17" s="28"/>
      <c r="G17" s="29"/>
      <c r="I17" s="57">
        <v>185</v>
      </c>
      <c r="J17" s="30"/>
    </row>
    <row r="18" spans="2:10" ht="15.75" x14ac:dyDescent="0.25">
      <c r="B18" s="26"/>
      <c r="C18" s="27" t="s">
        <v>190</v>
      </c>
      <c r="D18" s="44" t="s">
        <v>187</v>
      </c>
      <c r="E18" s="27">
        <v>20</v>
      </c>
      <c r="F18" s="28"/>
      <c r="G18" s="29"/>
      <c r="I18" s="57">
        <v>265</v>
      </c>
      <c r="J18" s="30"/>
    </row>
    <row r="19" spans="2:10" ht="15.75" x14ac:dyDescent="0.25">
      <c r="B19" s="26"/>
      <c r="C19" s="27" t="s">
        <v>189</v>
      </c>
      <c r="D19" s="44" t="s">
        <v>188</v>
      </c>
      <c r="E19" s="27">
        <v>17</v>
      </c>
      <c r="F19" s="28"/>
      <c r="G19" s="29"/>
      <c r="I19" s="57">
        <v>200</v>
      </c>
      <c r="J19" s="30"/>
    </row>
    <row r="20" spans="2:10" ht="15.75" x14ac:dyDescent="0.25">
      <c r="B20" s="26"/>
      <c r="C20" s="27"/>
      <c r="D20" s="44" t="s">
        <v>191</v>
      </c>
      <c r="E20" s="27">
        <v>20</v>
      </c>
      <c r="F20" s="28"/>
      <c r="G20" s="29"/>
      <c r="I20" s="57">
        <v>75</v>
      </c>
      <c r="J20" s="30"/>
    </row>
    <row r="21" spans="2:10" ht="15.75" x14ac:dyDescent="0.25">
      <c r="B21" s="26"/>
      <c r="C21" s="27" t="s">
        <v>60</v>
      </c>
      <c r="D21" s="45" t="s">
        <v>192</v>
      </c>
      <c r="E21" s="27">
        <v>6</v>
      </c>
      <c r="F21" s="28"/>
      <c r="G21" s="29"/>
      <c r="I21" s="57">
        <v>100</v>
      </c>
      <c r="J21" s="30"/>
    </row>
    <row r="22" spans="2:10" ht="15.75" x14ac:dyDescent="0.25">
      <c r="B22" s="26"/>
      <c r="C22" s="27"/>
      <c r="D22" s="44"/>
      <c r="E22" s="27"/>
      <c r="F22" s="28"/>
      <c r="G22" s="29"/>
      <c r="J22" s="30"/>
    </row>
    <row r="23" spans="2:10" ht="15.75" x14ac:dyDescent="0.25">
      <c r="B23" s="26"/>
      <c r="C23" s="27"/>
      <c r="D23" s="44"/>
      <c r="E23" s="27"/>
      <c r="F23" s="28"/>
      <c r="G23" s="29">
        <f>+F23*E23</f>
        <v>0</v>
      </c>
      <c r="J23" s="30"/>
    </row>
    <row r="24" spans="2:10" ht="15.75" x14ac:dyDescent="0.25">
      <c r="B24" s="26"/>
      <c r="C24" s="27"/>
      <c r="D24" s="44"/>
      <c r="E24" s="33"/>
      <c r="F24" s="28"/>
      <c r="G24" s="29"/>
      <c r="J24" s="30"/>
    </row>
    <row r="25" spans="2:10" ht="15.75" x14ac:dyDescent="0.25">
      <c r="B25" s="26"/>
      <c r="C25" s="27"/>
      <c r="D25" s="44"/>
      <c r="E25" s="33"/>
      <c r="F25" s="28"/>
      <c r="G25" s="29"/>
      <c r="J25" s="30"/>
    </row>
    <row r="26" spans="2:10" ht="15.75" x14ac:dyDescent="0.25">
      <c r="B26" s="26"/>
      <c r="C26" s="27"/>
      <c r="D26" s="44"/>
      <c r="E26" s="33"/>
      <c r="F26" s="28"/>
      <c r="G26" s="29"/>
      <c r="J26" s="30"/>
    </row>
    <row r="27" spans="2:10" ht="15.75" x14ac:dyDescent="0.25">
      <c r="B27" s="26"/>
      <c r="C27" s="27"/>
      <c r="D27" s="34"/>
      <c r="E27" s="33"/>
      <c r="F27" s="28"/>
      <c r="G27" s="29"/>
      <c r="J27" s="30"/>
    </row>
    <row r="28" spans="2:10" ht="15.75" x14ac:dyDescent="0.25">
      <c r="B28" s="26"/>
      <c r="C28" s="27"/>
      <c r="D28" s="31"/>
      <c r="E28" s="33"/>
      <c r="F28" s="28"/>
      <c r="G28" s="29"/>
      <c r="J28" s="30"/>
    </row>
    <row r="29" spans="2:10" ht="15.75" x14ac:dyDescent="0.25">
      <c r="B29" s="26"/>
      <c r="C29" s="27"/>
      <c r="D29" s="31"/>
      <c r="E29" s="33"/>
      <c r="F29" s="28"/>
      <c r="G29" s="29"/>
      <c r="J29" s="30"/>
    </row>
    <row r="30" spans="2:10" ht="15.75" x14ac:dyDescent="0.25">
      <c r="B30" s="26"/>
      <c r="C30" s="27"/>
      <c r="D30" s="31"/>
      <c r="E30" s="27"/>
      <c r="F30" s="28"/>
      <c r="G30" s="35"/>
      <c r="J30" s="30"/>
    </row>
    <row r="31" spans="2:10" ht="16.5" thickBot="1" x14ac:dyDescent="0.3">
      <c r="B31" s="36"/>
      <c r="C31" s="36"/>
      <c r="D31" s="37"/>
      <c r="E31" s="74" t="s">
        <v>11</v>
      </c>
      <c r="F31" s="73"/>
      <c r="G31" s="38">
        <f>SUM(G15:G30)</f>
        <v>0</v>
      </c>
    </row>
    <row r="32" spans="2:10" ht="14.45" customHeight="1" x14ac:dyDescent="0.25">
      <c r="B32" s="75" t="s">
        <v>131</v>
      </c>
      <c r="C32" s="76"/>
      <c r="D32" s="76"/>
      <c r="E32" s="76"/>
      <c r="F32" s="76"/>
      <c r="G32" s="77"/>
    </row>
    <row r="33" spans="2:7" ht="15" customHeight="1" thickBot="1" x14ac:dyDescent="0.3">
      <c r="B33" s="78"/>
      <c r="C33" s="79"/>
      <c r="D33" s="79"/>
      <c r="E33" s="79"/>
      <c r="F33" s="79"/>
      <c r="G33" s="80"/>
    </row>
    <row r="34" spans="2:7" ht="15.75" x14ac:dyDescent="0.25">
      <c r="B34" s="9"/>
      <c r="C34" s="10"/>
      <c r="D34" s="39" t="s">
        <v>12</v>
      </c>
      <c r="E34" s="81" t="s">
        <v>13</v>
      </c>
      <c r="F34" s="81"/>
      <c r="G34" s="11"/>
    </row>
    <row r="35" spans="2:7" ht="15.75" x14ac:dyDescent="0.25">
      <c r="B35" s="18"/>
      <c r="C35" s="19"/>
      <c r="D35" s="40"/>
      <c r="E35" s="40"/>
      <c r="F35" s="40"/>
      <c r="G35" s="8"/>
    </row>
    <row r="36" spans="2:7" ht="15.75" x14ac:dyDescent="0.25">
      <c r="B36" s="18"/>
      <c r="C36" s="19"/>
      <c r="D36" s="19"/>
      <c r="E36" s="19"/>
      <c r="F36" s="19"/>
      <c r="G36" s="8"/>
    </row>
    <row r="37" spans="2:7" ht="15.75" x14ac:dyDescent="0.25">
      <c r="B37" s="18" t="s">
        <v>14</v>
      </c>
      <c r="C37" s="19"/>
      <c r="D37" s="41" t="s">
        <v>15</v>
      </c>
      <c r="E37" s="60" t="s">
        <v>16</v>
      </c>
      <c r="F37" s="60"/>
      <c r="G37" s="61"/>
    </row>
    <row r="38" spans="2:7" ht="16.5" thickBot="1" x14ac:dyDescent="0.3">
      <c r="B38" s="15" t="s">
        <v>17</v>
      </c>
      <c r="C38" s="16"/>
      <c r="D38" s="42" t="s">
        <v>35</v>
      </c>
      <c r="E38" s="62" t="s">
        <v>23</v>
      </c>
      <c r="F38" s="62"/>
      <c r="G38" s="63"/>
    </row>
  </sheetData>
  <mergeCells count="8">
    <mergeCell ref="E37:G37"/>
    <mergeCell ref="E38:G38"/>
    <mergeCell ref="B1:D1"/>
    <mergeCell ref="B2:D2"/>
    <mergeCell ref="B8:G9"/>
    <mergeCell ref="E31:F31"/>
    <mergeCell ref="B32:G33"/>
    <mergeCell ref="E34:F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Security Guard</vt:lpstr>
      <vt:lpstr>Tarp printing</vt:lpstr>
      <vt:lpstr>purified drinking water</vt:lpstr>
      <vt:lpstr>janitorial service</vt:lpstr>
      <vt:lpstr>POL</vt:lpstr>
      <vt:lpstr>Sheet1</vt:lpstr>
      <vt:lpstr>courier</vt:lpstr>
      <vt:lpstr>monoblock chair</vt:lpstr>
      <vt:lpstr>Sheet2</vt:lpstr>
      <vt:lpstr>Sheet3</vt:lpstr>
      <vt:lpstr>mic and ref</vt:lpstr>
      <vt:lpstr>drum toner</vt:lpstr>
      <vt:lpstr>supplies</vt:lpstr>
      <vt:lpstr>'mic and ref'!Print_Area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Marasigan</dc:creator>
  <cp:lastModifiedBy>Giovanni Paredes</cp:lastModifiedBy>
  <cp:lastPrinted>2026-01-26T02:31:45Z</cp:lastPrinted>
  <dcterms:created xsi:type="dcterms:W3CDTF">2015-06-05T18:17:20Z</dcterms:created>
  <dcterms:modified xsi:type="dcterms:W3CDTF">2026-01-26T08:14:45Z</dcterms:modified>
</cp:coreProperties>
</file>