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DMW\DMW FILES\PROCUREMENT\PROCUREMENT FORMS\ABSTRACT\ABS 2026\"/>
    </mc:Choice>
  </mc:AlternateContent>
  <xr:revisionPtr revIDLastSave="0" documentId="13_ncr:1_{C42626AE-8458-4E18-A545-77F33925CF6B}" xr6:coauthVersionLast="47" xr6:coauthVersionMax="47" xr10:uidLastSave="{00000000-0000-0000-0000-000000000000}"/>
  <bookViews>
    <workbookView xWindow="-108" yWindow="-108" windowWidth="23256" windowHeight="13176" firstSheet="2" activeTab="8" xr2:uid="{00000000-000D-0000-FFFF-FFFF00000000}"/>
  </bookViews>
  <sheets>
    <sheet name="POL" sheetId="1" r:id="rId1"/>
    <sheet name="purified water" sheetId="2" r:id="rId2"/>
    <sheet name="tarp" sheetId="3" r:id="rId3"/>
    <sheet name="Snacks - PNU" sheetId="4" r:id="rId4"/>
    <sheet name="SNACKS SNSU" sheetId="5" r:id="rId5"/>
    <sheet name="Janitorial" sheetId="6" r:id="rId6"/>
    <sheet name="Security" sheetId="7" r:id="rId7"/>
    <sheet name="dict" sheetId="8" r:id="rId8"/>
    <sheet name="KNOWLEDGE SHARING JAN. 23" sheetId="9" r:id="rId9"/>
  </sheets>
  <definedNames>
    <definedName name="_xlnm.Print_Area" localSheetId="7">dict!$A$1:$K$34</definedName>
    <definedName name="_xlnm.Print_Area" localSheetId="5">Janitorial!$A$1:$K$35</definedName>
    <definedName name="_xlnm.Print_Area" localSheetId="8">'KNOWLEDGE SHARING JAN. 23'!$A$1:$K$34</definedName>
    <definedName name="_xlnm.Print_Area" localSheetId="0">POL!$A$1:$K$35</definedName>
    <definedName name="_xlnm.Print_Area" localSheetId="1">'purified water'!$A$1:$K$35</definedName>
    <definedName name="_xlnm.Print_Area" localSheetId="6">Security!$A$1:$K$35</definedName>
    <definedName name="_xlnm.Print_Area" localSheetId="3">'Snacks - PNU'!$A$1:$K$39</definedName>
    <definedName name="_xlnm.Print_Area" localSheetId="4">'SNACKS SNSU'!$A$1:$K$40</definedName>
    <definedName name="_xlnm.Print_Area" localSheetId="2">tarp!$A$1:$K$35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 i="9" l="1"/>
  <c r="K21" i="9" s="1"/>
  <c r="I12" i="9"/>
  <c r="I21" i="9" s="1"/>
  <c r="G12" i="9"/>
  <c r="G21" i="9" s="1"/>
  <c r="G21" i="7"/>
  <c r="I21" i="7"/>
  <c r="K12" i="8"/>
  <c r="K21" i="8" s="1"/>
  <c r="J12" i="8"/>
  <c r="I12" i="8"/>
  <c r="I21" i="8" s="1"/>
  <c r="H12" i="8"/>
  <c r="G12" i="8"/>
  <c r="G21" i="8" s="1"/>
  <c r="K21" i="7"/>
  <c r="K21" i="6" l="1"/>
  <c r="I21" i="6"/>
  <c r="G21" i="6"/>
  <c r="K12" i="5"/>
  <c r="K26" i="5" s="1"/>
  <c r="I12" i="5"/>
  <c r="I26" i="5" s="1"/>
  <c r="G12" i="5"/>
  <c r="G26" i="5" s="1"/>
  <c r="K12" i="4"/>
  <c r="K26" i="4" s="1"/>
  <c r="I12" i="4"/>
  <c r="I26" i="4" s="1"/>
  <c r="G12" i="4"/>
  <c r="G26" i="4" s="1"/>
  <c r="K12" i="3"/>
  <c r="K21" i="3" s="1"/>
  <c r="I12" i="3"/>
  <c r="I21" i="3" s="1"/>
  <c r="G12" i="3"/>
  <c r="G21" i="3" s="1"/>
  <c r="K12" i="2"/>
  <c r="K21" i="2" s="1"/>
  <c r="I12" i="2"/>
  <c r="I21" i="2" s="1"/>
  <c r="G12" i="2"/>
  <c r="G21" i="2" s="1"/>
  <c r="K12" i="1" l="1"/>
  <c r="K21" i="1" s="1"/>
  <c r="I12" i="1"/>
  <c r="I21" i="1" s="1"/>
  <c r="G12" i="1"/>
  <c r="G21" i="1" s="1"/>
</calcChain>
</file>

<file path=xl/sharedStrings.xml><?xml version="1.0" encoding="utf-8"?>
<sst xmlns="http://schemas.openxmlformats.org/spreadsheetml/2006/main" count="251" uniqueCount="99">
  <si>
    <t>ABSTRACT OF QUOTATION</t>
  </si>
  <si>
    <t>AOQ No.:</t>
  </si>
  <si>
    <t>DATE:</t>
  </si>
  <si>
    <t>PARTICULARS</t>
  </si>
  <si>
    <t>ABC</t>
  </si>
  <si>
    <t>Qty.</t>
  </si>
  <si>
    <t>Unit</t>
  </si>
  <si>
    <t>Items</t>
  </si>
  <si>
    <t>Unit Price</t>
  </si>
  <si>
    <t>Total Price</t>
  </si>
  <si>
    <r>
      <t xml:space="preserve">We </t>
    </r>
    <r>
      <rPr>
        <b/>
        <sz val="12"/>
        <rFont val="Arial"/>
        <family val="2"/>
      </rPr>
      <t>CERTIFY</t>
    </r>
    <r>
      <rPr>
        <sz val="12"/>
        <rFont val="Arial"/>
        <family val="2"/>
      </rPr>
      <t xml:space="preserve"> that we opened and recorded herein quotations received in respond to the RFQ.</t>
    </r>
  </si>
  <si>
    <t>We also certify that the lowest and responsive quotation recommended for this award is within the ABC</t>
  </si>
  <si>
    <t>Jan. 6, 2026</t>
  </si>
  <si>
    <t>2026-01-0001</t>
  </si>
  <si>
    <t xml:space="preserve">PURPOSE: Supply and delivery of Petroleum Oil (Gas) for CY 2026 (PUMP PRICE) </t>
  </si>
  <si>
    <t>HAMUGAWAY VENTURES CORP.</t>
  </si>
  <si>
    <r>
      <t xml:space="preserve">We therefore RECOMMEND to award to </t>
    </r>
    <r>
      <rPr>
        <b/>
        <sz val="12"/>
        <rFont val="Arial"/>
        <family val="2"/>
      </rPr>
      <t>HAMUGAWAY VENTURES CORP.... .</t>
    </r>
    <r>
      <rPr>
        <sz val="12"/>
        <rFont val="Arial"/>
        <family val="2"/>
      </rPr>
      <t xml:space="preserve">.... having submitted the most responsive quotation. </t>
    </r>
  </si>
  <si>
    <t>Gas</t>
  </si>
  <si>
    <t>Note:</t>
  </si>
  <si>
    <t>1. Open on Holidays, Saturdays, and Sundays</t>
  </si>
  <si>
    <t>2. Office hours open at least 5:00 AM to 9:00 PM</t>
  </si>
  <si>
    <t>3. Flood Free Areas</t>
  </si>
  <si>
    <t>4. Contract location within the area</t>
  </si>
  <si>
    <t>5. Monthly Billing</t>
  </si>
  <si>
    <t>6. Must be PhilGeps Registered</t>
  </si>
  <si>
    <t>Ltrs</t>
  </si>
  <si>
    <t>STAR EXCELLENCE</t>
  </si>
  <si>
    <t>UNI V</t>
  </si>
  <si>
    <t>2026-01-0002</t>
  </si>
  <si>
    <t>Purified Drinking Water</t>
  </si>
  <si>
    <t>Duration: 1 year</t>
  </si>
  <si>
    <t>Billing: Monthly, actual billing</t>
  </si>
  <si>
    <t>Gal</t>
  </si>
  <si>
    <t>WATER BOY REVERSE OSMOSIS PURE WATER STATION</t>
  </si>
  <si>
    <t>A &amp; C PURIFIED WATER STATION</t>
  </si>
  <si>
    <t>CLYDEN'S PURIFIED DRINKING WATER</t>
  </si>
  <si>
    <t>PURPOSE: Supply and delivery of purified drinking water for CY 2026</t>
  </si>
  <si>
    <r>
      <t xml:space="preserve">We therefore RECOMMEND to award to </t>
    </r>
    <r>
      <rPr>
        <b/>
        <sz val="12"/>
        <rFont val="Arial"/>
        <family val="2"/>
      </rPr>
      <t>WATER BOY REVERSE OSMOSIS PURE WATER STATION.... .</t>
    </r>
    <r>
      <rPr>
        <sz val="12"/>
        <rFont val="Arial"/>
        <family val="2"/>
      </rPr>
      <t xml:space="preserve">.... having submitted the most responsive quotation. </t>
    </r>
  </si>
  <si>
    <t>2026-01-0003</t>
  </si>
  <si>
    <t>Tarpaulin Printing</t>
  </si>
  <si>
    <t>Billing: Bi-weekly, actual billing</t>
  </si>
  <si>
    <t>Sq.Ft.</t>
  </si>
  <si>
    <t>LIFEWORKS PRINT HUB</t>
  </si>
  <si>
    <t>PURPOSE: Tarpaulin printing for all the activities of DMW Caraga for CY 2026</t>
  </si>
  <si>
    <r>
      <t xml:space="preserve">We therefore RECOMMEND to award to </t>
    </r>
    <r>
      <rPr>
        <b/>
        <sz val="12"/>
        <rFont val="Arial"/>
        <family val="2"/>
      </rPr>
      <t>LIFEWORKS PRINT HUB.... .</t>
    </r>
    <r>
      <rPr>
        <sz val="12"/>
        <rFont val="Arial"/>
        <family val="2"/>
      </rPr>
      <t xml:space="preserve">.... having submitted the most responsive quotation. </t>
    </r>
  </si>
  <si>
    <t>D' PRINT SHOP</t>
  </si>
  <si>
    <t>JL PRINTING SERVICES</t>
  </si>
  <si>
    <t>PURPOSE: Snacks during the orientation and organizational meeting with childred of OFWs enrolled in Surigao Del Norte State University (SNSU) on January 23, 2026</t>
  </si>
  <si>
    <t>2026-01-0004</t>
  </si>
  <si>
    <t>Live-Out, PM Snacks</t>
  </si>
  <si>
    <t>Details:</t>
  </si>
  <si>
    <t xml:space="preserve">  *Clubhouse Sandwhich </t>
  </si>
  <si>
    <t xml:space="preserve">  *Bottled/Canned Juice</t>
  </si>
  <si>
    <t>Tentative Dates:</t>
  </si>
  <si>
    <t>*January 21, 2026</t>
  </si>
  <si>
    <t>*February 4, 2026</t>
  </si>
  <si>
    <t>*February 25, 2026</t>
  </si>
  <si>
    <t>*March 11, 2026</t>
  </si>
  <si>
    <t>*March 25, 2026</t>
  </si>
  <si>
    <t>*April 8, 2026</t>
  </si>
  <si>
    <t>*May 6, 2026</t>
  </si>
  <si>
    <t>Pax</t>
  </si>
  <si>
    <t>PLATEFUL CATERING SERVICES</t>
  </si>
  <si>
    <t>SABERINA'S CUISINE</t>
  </si>
  <si>
    <t>BEDEDA'S CATERING SERVICES</t>
  </si>
  <si>
    <r>
      <t xml:space="preserve">We therefore RECOMMEND to award to </t>
    </r>
    <r>
      <rPr>
        <b/>
        <sz val="12"/>
        <rFont val="Arial"/>
        <family val="2"/>
      </rPr>
      <t>PLATEFUL CATERING SERVICES.... .</t>
    </r>
    <r>
      <rPr>
        <sz val="12"/>
        <rFont val="Arial"/>
        <family val="2"/>
      </rPr>
      <t xml:space="preserve">.... having submitted the most responsive quotation. </t>
    </r>
  </si>
  <si>
    <t>PURPOSE: Snacks during the continuation of training sessions for the Capacity Building Program for Children of OFWs at PNUM from January to May 2026 at PNU Mindanao Campus, Prosperidad, Agusan Del Sur</t>
  </si>
  <si>
    <t>2026-01-0005</t>
  </si>
  <si>
    <t>Janitorial Services</t>
  </si>
  <si>
    <t>Duration: 11.5 months</t>
  </si>
  <si>
    <t>PURPOSE: Hiring of janitorial services to maintain cleanliness of DMW Caraga CY 2026</t>
  </si>
  <si>
    <t>2026-01-0006</t>
  </si>
  <si>
    <t>ATWORK MANPOWER AND GENERAL SERVICES</t>
  </si>
  <si>
    <t>NO BIDDER</t>
  </si>
  <si>
    <r>
      <t xml:space="preserve">We therefore RECOMMEND to award to </t>
    </r>
    <r>
      <rPr>
        <b/>
        <sz val="12"/>
        <rFont val="Arial"/>
        <family val="2"/>
      </rPr>
      <t>AT WORK MANPOWER AND GENERAL SERVICES.... .</t>
    </r>
    <r>
      <rPr>
        <sz val="12"/>
        <rFont val="Arial"/>
        <family val="2"/>
      </rPr>
      <t xml:space="preserve">.... having submitted the most responsive quotation. </t>
    </r>
  </si>
  <si>
    <t>Jan. 9, 2026</t>
  </si>
  <si>
    <t>2026-01-0007</t>
  </si>
  <si>
    <t>Security Guard (4 pax)</t>
  </si>
  <si>
    <t>PURPOSE: Hiring of security guards to maintain a secure environment for DMW RO XIII personnel and clients.</t>
  </si>
  <si>
    <t>2026-01-0008</t>
  </si>
  <si>
    <t>Jan. 12, 2026</t>
  </si>
  <si>
    <t>AM Snacks - 2 pcs ham and egg sandwich with lettuce, tomato with bottled juice</t>
  </si>
  <si>
    <t>LUNCH - Beef Menudo, Lumpia shanghai Chicken, Teriyaki Buffalo Wings with Soft drinks with dessert</t>
  </si>
  <si>
    <t>PM Snacks - 2 Burgers with softdrinks</t>
  </si>
  <si>
    <t>PURPOSE: Procurement of meals for the conduct of DICT-PNPKI users's training on January 14, 2026</t>
  </si>
  <si>
    <t>MANG SIMON CATERING SERVICES</t>
  </si>
  <si>
    <t>SAPPIRE SECURITY AGENCY</t>
  </si>
  <si>
    <t>AXZEEN SECURITY AGENCY</t>
  </si>
  <si>
    <t>TOTAL PRICE</t>
  </si>
  <si>
    <t>Disqualified. No attachment of documents</t>
  </si>
  <si>
    <r>
      <t xml:space="preserve">We therefore RECOMMEND to award to </t>
    </r>
    <r>
      <rPr>
        <b/>
        <sz val="12"/>
        <rFont val="Arial"/>
        <family val="2"/>
      </rPr>
      <t>AXZEEN SECURITY AGENCY.... .</t>
    </r>
    <r>
      <rPr>
        <sz val="12"/>
        <rFont val="Arial"/>
        <family val="2"/>
      </rPr>
      <t xml:space="preserve">.... having submitted the most responsive quotation. </t>
    </r>
  </si>
  <si>
    <t>AM Snack – Puto maya with sliced mango and sikwate</t>
  </si>
  <si>
    <t>Lunch – Chicken Afritada, Pork BBQ, Pinakbet and soft drinks with dessert</t>
  </si>
  <si>
    <t>PM Snacks – 2 Toron and soft drinks</t>
  </si>
  <si>
    <t>Jan. 19, 2026</t>
  </si>
  <si>
    <t>2026-01-0009</t>
  </si>
  <si>
    <t>PURPOSE: Procurement of Meals for the Conduct of the DMW Caraga Connect: Knowledge Sharing on Programs and Services on January 23, 2026</t>
  </si>
  <si>
    <t>BADEDA'S CATERING SERVICES</t>
  </si>
  <si>
    <t>SABERINA CUISINE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</si>
</sst>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1" x14ac:knownFonts="1">
    <font>
      <sz val="11"/>
      <color theme="1"/>
      <name val="Calibri"/>
      <family val="2"/>
      <scheme val="minor"/>
    </font>
    <font>
      <sz val="11"/>
      <color theme="1"/>
      <name val="Calibri"/>
      <family val="2"/>
      <scheme val="minor"/>
    </font>
    <font>
      <sz val="16"/>
      <name val="Times New Roman"/>
      <family val="1"/>
    </font>
    <font>
      <sz val="16"/>
      <name val="Old English Text MT"/>
      <family val="4"/>
    </font>
    <font>
      <sz val="16"/>
      <name val="Arial"/>
      <family val="2"/>
    </font>
    <font>
      <b/>
      <sz val="16"/>
      <name val="Times New Roman"/>
      <family val="1"/>
    </font>
    <font>
      <b/>
      <sz val="14"/>
      <name val="Times New Roman"/>
      <family val="1"/>
    </font>
    <font>
      <b/>
      <sz val="14"/>
      <name val="Arial"/>
      <family val="2"/>
    </font>
    <font>
      <sz val="14"/>
      <color theme="1"/>
      <name val="Calibri"/>
      <family val="2"/>
      <scheme val="minor"/>
    </font>
    <font>
      <b/>
      <sz val="12"/>
      <name val="Times New Roman"/>
      <family val="1"/>
    </font>
    <font>
      <sz val="12"/>
      <name val="Times New Roman"/>
      <family val="1"/>
    </font>
    <font>
      <sz val="12"/>
      <color theme="1"/>
      <name val="Times New Roman"/>
      <family val="1"/>
    </font>
    <font>
      <sz val="11"/>
      <color theme="1"/>
      <name val="Arial"/>
      <family val="2"/>
    </font>
    <font>
      <sz val="12"/>
      <name val="Arial"/>
      <family val="2"/>
    </font>
    <font>
      <b/>
      <sz val="12"/>
      <color theme="1"/>
      <name val="Times New Roman"/>
      <family val="1"/>
    </font>
    <font>
      <sz val="12"/>
      <color theme="1"/>
      <name val="Arial"/>
      <family val="2"/>
    </font>
    <font>
      <b/>
      <sz val="12"/>
      <color theme="1"/>
      <name val="Arial"/>
      <family val="2"/>
    </font>
    <font>
      <b/>
      <sz val="12"/>
      <name val="Arial"/>
      <family val="2"/>
    </font>
    <font>
      <b/>
      <u/>
      <sz val="12"/>
      <name val="Arial"/>
      <family val="2"/>
    </font>
    <font>
      <b/>
      <u/>
      <sz val="16"/>
      <name val="Arial"/>
      <family val="2"/>
    </font>
    <font>
      <sz val="12"/>
      <color rgb="FFFF0000"/>
      <name val="Times New Roman"/>
      <family val="1"/>
    </font>
  </fonts>
  <fills count="3">
    <fill>
      <patternFill patternType="none"/>
    </fill>
    <fill>
      <patternFill patternType="gray125"/>
    </fill>
    <fill>
      <patternFill patternType="solid">
        <fgColor rgb="FFFFFF00"/>
        <bgColor indexed="64"/>
      </patternFill>
    </fill>
  </fills>
  <borders count="5">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indexed="64"/>
      </right>
      <top style="thin">
        <color auto="1"/>
      </top>
      <bottom style="thin">
        <color indexed="64"/>
      </bottom>
      <diagonal/>
    </border>
    <border>
      <left style="thin">
        <color auto="1"/>
      </left>
      <right/>
      <top style="thin">
        <color auto="1"/>
      </top>
      <bottom style="thin">
        <color auto="1"/>
      </bottom>
      <diagonal/>
    </border>
  </borders>
  <cellStyleXfs count="2">
    <xf numFmtId="0" fontId="0" fillId="0" borderId="0"/>
    <xf numFmtId="43" fontId="1" fillId="0" borderId="0" applyFont="0" applyFill="0" applyBorder="0" applyAlignment="0" applyProtection="0"/>
  </cellStyleXfs>
  <cellXfs count="65">
    <xf numFmtId="0" fontId="0" fillId="0" borderId="0" xfId="0"/>
    <xf numFmtId="0" fontId="4" fillId="0" borderId="0" xfId="0" applyFont="1" applyAlignment="1">
      <alignment wrapText="1"/>
    </xf>
    <xf numFmtId="0" fontId="2" fillId="0" borderId="0" xfId="0" applyFont="1" applyAlignment="1">
      <alignment wrapText="1"/>
    </xf>
    <xf numFmtId="0" fontId="5" fillId="0" borderId="0" xfId="0" applyFont="1" applyAlignment="1">
      <alignment horizontal="center" wrapText="1"/>
    </xf>
    <xf numFmtId="0" fontId="5" fillId="0" borderId="0" xfId="0" applyFont="1" applyAlignment="1">
      <alignment horizontal="left"/>
    </xf>
    <xf numFmtId="0" fontId="2" fillId="0" borderId="0" xfId="0" applyFont="1" applyAlignment="1">
      <alignment horizontal="left" wrapText="1"/>
    </xf>
    <xf numFmtId="0" fontId="5" fillId="0" borderId="0" xfId="0" applyFont="1"/>
    <xf numFmtId="0" fontId="2" fillId="0" borderId="1" xfId="0" applyFont="1" applyBorder="1" applyAlignment="1">
      <alignment wrapText="1"/>
    </xf>
    <xf numFmtId="0" fontId="2" fillId="0" borderId="1" xfId="0" applyFont="1" applyBorder="1" applyAlignment="1">
      <alignment horizontal="left" wrapText="1"/>
    </xf>
    <xf numFmtId="0" fontId="5" fillId="0" borderId="2" xfId="0" applyFont="1" applyBorder="1" applyAlignment="1">
      <alignment horizontal="center" vertical="center" wrapText="1"/>
    </xf>
    <xf numFmtId="0" fontId="7" fillId="0" borderId="2" xfId="0" applyFont="1" applyBorder="1" applyAlignment="1">
      <alignment horizontal="center" vertical="center" wrapText="1"/>
    </xf>
    <xf numFmtId="0" fontId="8" fillId="0" borderId="2" xfId="0" applyFont="1" applyBorder="1" applyAlignment="1">
      <alignment wrapText="1"/>
    </xf>
    <xf numFmtId="0" fontId="9" fillId="0" borderId="2" xfId="0" applyFont="1" applyBorder="1" applyAlignment="1">
      <alignment horizontal="center" vertical="center" wrapText="1"/>
    </xf>
    <xf numFmtId="0" fontId="0" fillId="0" borderId="0" xfId="0" applyAlignment="1">
      <alignment wrapText="1"/>
    </xf>
    <xf numFmtId="0" fontId="10" fillId="0" borderId="2" xfId="0" applyFont="1" applyBorder="1" applyAlignment="1">
      <alignment horizontal="center" vertical="center"/>
    </xf>
    <xf numFmtId="49" fontId="11" fillId="0" borderId="2" xfId="0" applyNumberFormat="1" applyFont="1" applyBorder="1" applyAlignment="1">
      <alignment horizontal="left"/>
    </xf>
    <xf numFmtId="43" fontId="10" fillId="0" borderId="2" xfId="1" applyFont="1" applyFill="1" applyBorder="1" applyAlignment="1">
      <alignment vertical="center"/>
    </xf>
    <xf numFmtId="43" fontId="11" fillId="0" borderId="2" xfId="1" applyFont="1" applyFill="1" applyBorder="1" applyAlignment="1">
      <alignment horizontal="right" vertical="center"/>
    </xf>
    <xf numFmtId="43" fontId="11" fillId="0" borderId="2" xfId="1" applyFont="1" applyFill="1" applyBorder="1" applyAlignment="1">
      <alignment vertical="center"/>
    </xf>
    <xf numFmtId="0" fontId="12" fillId="0" borderId="0" xfId="0" applyFont="1" applyAlignment="1">
      <alignment vertical="center"/>
    </xf>
    <xf numFmtId="49" fontId="11" fillId="0" borderId="2" xfId="0" applyNumberFormat="1" applyFont="1" applyBorder="1" applyAlignment="1">
      <alignment horizontal="left" wrapText="1"/>
    </xf>
    <xf numFmtId="0" fontId="13" fillId="0" borderId="2" xfId="0" applyFont="1" applyBorder="1" applyAlignment="1">
      <alignment horizontal="center" vertical="center"/>
    </xf>
    <xf numFmtId="0" fontId="13" fillId="0" borderId="2" xfId="0" applyFont="1" applyBorder="1" applyAlignment="1">
      <alignment horizontal="center" vertical="center" wrapText="1"/>
    </xf>
    <xf numFmtId="0" fontId="10" fillId="0" borderId="2" xfId="0" applyFont="1" applyBorder="1" applyAlignment="1">
      <alignment horizontal="left" vertical="center" wrapText="1"/>
    </xf>
    <xf numFmtId="43" fontId="13" fillId="0" borderId="2" xfId="1" applyFont="1" applyBorder="1" applyAlignment="1">
      <alignment horizontal="left" vertical="center" wrapText="1"/>
    </xf>
    <xf numFmtId="43" fontId="11" fillId="0" borderId="2" xfId="1" applyFont="1" applyFill="1" applyBorder="1" applyAlignment="1">
      <alignment horizontal="right"/>
    </xf>
    <xf numFmtId="43" fontId="14" fillId="2" borderId="2" xfId="1" applyFont="1" applyFill="1" applyBorder="1" applyAlignment="1">
      <alignment vertical="center"/>
    </xf>
    <xf numFmtId="43" fontId="14" fillId="0" borderId="2" xfId="1" applyFont="1" applyFill="1" applyBorder="1" applyAlignment="1">
      <alignment vertical="center"/>
    </xf>
    <xf numFmtId="0" fontId="13" fillId="0" borderId="0" xfId="0" applyFont="1" applyAlignment="1">
      <alignment horizontal="center" vertical="center"/>
    </xf>
    <xf numFmtId="0" fontId="13" fillId="0" borderId="0" xfId="0" applyFont="1" applyAlignment="1">
      <alignment horizontal="center" vertical="center" wrapText="1"/>
    </xf>
    <xf numFmtId="0" fontId="13" fillId="0" borderId="0" xfId="0" applyFont="1" applyAlignment="1">
      <alignment horizontal="left" vertical="center" wrapText="1"/>
    </xf>
    <xf numFmtId="43" fontId="15" fillId="0" borderId="0" xfId="1" applyFont="1" applyFill="1" applyBorder="1" applyAlignment="1">
      <alignment horizontal="right"/>
    </xf>
    <xf numFmtId="43" fontId="16" fillId="0" borderId="0" xfId="1" applyFont="1" applyFill="1" applyBorder="1"/>
    <xf numFmtId="0" fontId="13" fillId="0" borderId="0" xfId="0" applyFont="1"/>
    <xf numFmtId="0" fontId="18" fillId="0" borderId="0" xfId="0" applyFont="1" applyAlignment="1">
      <alignment wrapText="1"/>
    </xf>
    <xf numFmtId="0" fontId="13" fillId="0" borderId="0" xfId="0" applyFont="1" applyAlignment="1">
      <alignment wrapText="1"/>
    </xf>
    <xf numFmtId="0" fontId="18" fillId="0" borderId="0" xfId="0" applyFont="1" applyAlignment="1">
      <alignment horizontal="center" wrapText="1"/>
    </xf>
    <xf numFmtId="0" fontId="4" fillId="0" borderId="0" xfId="0" applyFont="1" applyAlignment="1">
      <alignment vertical="center"/>
    </xf>
    <xf numFmtId="0" fontId="19" fillId="0" borderId="0" xfId="0" applyFont="1" applyAlignment="1">
      <alignment wrapText="1"/>
    </xf>
    <xf numFmtId="0" fontId="11" fillId="0" borderId="2" xfId="0" applyFont="1" applyBorder="1" applyAlignment="1">
      <alignment horizontal="left"/>
    </xf>
    <xf numFmtId="49" fontId="10" fillId="0" borderId="2" xfId="0" applyNumberFormat="1" applyFont="1" applyBorder="1" applyAlignment="1">
      <alignment horizontal="left"/>
    </xf>
    <xf numFmtId="0" fontId="8" fillId="0" borderId="3" xfId="0" applyFont="1" applyBorder="1" applyAlignment="1">
      <alignment wrapText="1"/>
    </xf>
    <xf numFmtId="43" fontId="10" fillId="0" borderId="3" xfId="1" applyFont="1" applyFill="1" applyBorder="1" applyAlignment="1">
      <alignment vertical="center"/>
    </xf>
    <xf numFmtId="0" fontId="7" fillId="0" borderId="3" xfId="0" applyFont="1" applyBorder="1" applyAlignment="1">
      <alignment horizontal="center" vertical="center" wrapText="1"/>
    </xf>
    <xf numFmtId="49" fontId="14" fillId="0" borderId="3" xfId="0" applyNumberFormat="1" applyFont="1" applyBorder="1" applyAlignment="1">
      <alignment horizontal="left"/>
    </xf>
    <xf numFmtId="49" fontId="11" fillId="0" borderId="3" xfId="0" applyNumberFormat="1" applyFont="1" applyBorder="1" applyAlignment="1">
      <alignment horizontal="left"/>
    </xf>
    <xf numFmtId="49" fontId="10" fillId="0" borderId="3" xfId="0" applyNumberFormat="1" applyFont="1" applyBorder="1" applyAlignment="1">
      <alignment horizontal="left"/>
    </xf>
    <xf numFmtId="49" fontId="11" fillId="0" borderId="3" xfId="0" applyNumberFormat="1" applyFont="1" applyBorder="1" applyAlignment="1">
      <alignment horizontal="left" wrapText="1"/>
    </xf>
    <xf numFmtId="0" fontId="13" fillId="0" borderId="0" xfId="0" applyFont="1" applyAlignment="1">
      <alignment horizontal="left" wrapText="1"/>
    </xf>
    <xf numFmtId="0" fontId="19" fillId="0" borderId="0" xfId="0" applyFont="1" applyAlignment="1">
      <alignment horizontal="center" wrapText="1"/>
    </xf>
    <xf numFmtId="0" fontId="4" fillId="0" borderId="0" xfId="0" applyFont="1" applyAlignment="1">
      <alignment horizontal="center" wrapText="1"/>
    </xf>
    <xf numFmtId="0" fontId="2"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wrapText="1"/>
    </xf>
    <xf numFmtId="0" fontId="5" fillId="0" borderId="0" xfId="0" applyFont="1" applyAlignment="1">
      <alignment horizontal="center" wrapText="1"/>
    </xf>
    <xf numFmtId="0" fontId="5" fillId="0" borderId="2" xfId="0" applyFont="1" applyBorder="1" applyAlignment="1">
      <alignment horizontal="center" vertical="center" wrapText="1"/>
    </xf>
    <xf numFmtId="0" fontId="6" fillId="0" borderId="2" xfId="0" applyFont="1" applyBorder="1" applyAlignment="1">
      <alignment horizontal="center" vertical="center" wrapText="1"/>
    </xf>
    <xf numFmtId="0" fontId="9" fillId="0" borderId="4" xfId="0" applyFont="1" applyBorder="1" applyAlignment="1">
      <alignment horizontal="center" vertical="center" wrapText="1"/>
    </xf>
    <xf numFmtId="0" fontId="9" fillId="0" borderId="3" xfId="0" applyFont="1" applyBorder="1" applyAlignment="1">
      <alignment horizontal="center" vertical="center" wrapText="1"/>
    </xf>
    <xf numFmtId="43" fontId="11" fillId="0" borderId="4" xfId="1" applyFont="1" applyFill="1" applyBorder="1" applyAlignment="1">
      <alignment horizontal="center" vertical="center"/>
    </xf>
    <xf numFmtId="43" fontId="11" fillId="0" borderId="3" xfId="1" applyFont="1" applyFill="1" applyBorder="1" applyAlignment="1">
      <alignment horizontal="center" vertical="center"/>
    </xf>
    <xf numFmtId="43" fontId="11" fillId="0" borderId="4" xfId="1" applyFont="1" applyFill="1" applyBorder="1" applyAlignment="1">
      <alignment vertical="center"/>
    </xf>
    <xf numFmtId="43" fontId="11" fillId="0" borderId="3" xfId="1" applyFont="1" applyFill="1" applyBorder="1" applyAlignment="1">
      <alignment vertical="center"/>
    </xf>
    <xf numFmtId="43" fontId="20" fillId="0" borderId="4" xfId="1" applyFont="1" applyFill="1" applyBorder="1" applyAlignment="1">
      <alignment horizontal="center" vertical="center" wrapText="1"/>
    </xf>
    <xf numFmtId="43" fontId="20" fillId="0" borderId="3" xfId="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563879</xdr:colOff>
      <xdr:row>0</xdr:row>
      <xdr:rowOff>0</xdr:rowOff>
    </xdr:from>
    <xdr:to>
      <xdr:col>9</xdr:col>
      <xdr:colOff>698500</xdr:colOff>
      <xdr:row>6</xdr:row>
      <xdr:rowOff>7620</xdr:rowOff>
    </xdr:to>
    <xdr:pic>
      <xdr:nvPicPr>
        <xdr:cNvPr id="2" name="Picture 1">
          <a:extLst>
            <a:ext uri="{FF2B5EF4-FFF2-40B4-BE49-F238E27FC236}">
              <a16:creationId xmlns:a16="http://schemas.microsoft.com/office/drawing/2014/main" id="{83E12481-F094-43A9-9FC6-B7570757F3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70659" y="0"/>
          <a:ext cx="9080501" cy="1508760"/>
        </a:xfrm>
        <a:prstGeom prst="rect">
          <a:avLst/>
        </a:prstGeom>
      </xdr:spPr>
    </xdr:pic>
    <xdr:clientData/>
  </xdr:twoCellAnchor>
  <xdr:twoCellAnchor>
    <xdr:from>
      <xdr:col>5</xdr:col>
      <xdr:colOff>22860</xdr:colOff>
      <xdr:row>30</xdr:row>
      <xdr:rowOff>10014</xdr:rowOff>
    </xdr:from>
    <xdr:to>
      <xdr:col>7</xdr:col>
      <xdr:colOff>571500</xdr:colOff>
      <xdr:row>34</xdr:row>
      <xdr:rowOff>7620</xdr:rowOff>
    </xdr:to>
    <xdr:sp macro="" textlink="">
      <xdr:nvSpPr>
        <xdr:cNvPr id="3" name="TextBox 2">
          <a:extLst>
            <a:ext uri="{FF2B5EF4-FFF2-40B4-BE49-F238E27FC236}">
              <a16:creationId xmlns:a16="http://schemas.microsoft.com/office/drawing/2014/main" id="{49F60459-6711-4E87-86E0-B9DB804537A6}"/>
            </a:ext>
          </a:extLst>
        </xdr:cNvPr>
        <xdr:cNvSpPr txBox="1"/>
      </xdr:nvSpPr>
      <xdr:spPr>
        <a:xfrm>
          <a:off x="6286500" y="8056734"/>
          <a:ext cx="2415540" cy="729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REGIENALD S. ESPALDON</a:t>
          </a:r>
        </a:p>
        <a:p>
          <a:pPr algn="ctr"/>
          <a:r>
            <a:rPr lang="en-PH" sz="1200">
              <a:latin typeface="Times New Roman" panose="02020603050405020304" pitchFamily="18" charset="0"/>
              <a:cs typeface="Times New Roman" panose="02020603050405020304" pitchFamily="18" charset="0"/>
            </a:rPr>
            <a:t>BAC Chairperson</a:t>
          </a:r>
        </a:p>
      </xdr:txBody>
    </xdr:sp>
    <xdr:clientData/>
  </xdr:twoCellAnchor>
  <xdr:twoCellAnchor>
    <xdr:from>
      <xdr:col>0</xdr:col>
      <xdr:colOff>0</xdr:colOff>
      <xdr:row>25</xdr:row>
      <xdr:rowOff>181821</xdr:rowOff>
    </xdr:from>
    <xdr:to>
      <xdr:col>11</xdr:col>
      <xdr:colOff>2540</xdr:colOff>
      <xdr:row>34</xdr:row>
      <xdr:rowOff>61351</xdr:rowOff>
    </xdr:to>
    <xdr:grpSp>
      <xdr:nvGrpSpPr>
        <xdr:cNvPr id="4" name="Group 3">
          <a:extLst>
            <a:ext uri="{FF2B5EF4-FFF2-40B4-BE49-F238E27FC236}">
              <a16:creationId xmlns:a16="http://schemas.microsoft.com/office/drawing/2014/main" id="{1241147C-8FD7-4291-AAAC-D756AA82EC60}"/>
            </a:ext>
          </a:extLst>
        </xdr:cNvPr>
        <xdr:cNvGrpSpPr/>
      </xdr:nvGrpSpPr>
      <xdr:grpSpPr>
        <a:xfrm>
          <a:off x="0" y="6366721"/>
          <a:ext cx="11750040" cy="1873430"/>
          <a:chOff x="114300" y="6674061"/>
          <a:chExt cx="11971020" cy="1815010"/>
        </a:xfrm>
      </xdr:grpSpPr>
      <xdr:sp macro="" textlink="">
        <xdr:nvSpPr>
          <xdr:cNvPr id="5" name="TextBox 4">
            <a:extLst>
              <a:ext uri="{FF2B5EF4-FFF2-40B4-BE49-F238E27FC236}">
                <a16:creationId xmlns:a16="http://schemas.microsoft.com/office/drawing/2014/main" id="{CDBCC02F-F28B-D506-704C-640EDB77ADD3}"/>
              </a:ext>
            </a:extLst>
          </xdr:cNvPr>
          <xdr:cNvSpPr txBox="1"/>
        </xdr:nvSpPr>
        <xdr:spPr>
          <a:xfrm>
            <a:off x="4183380" y="7719060"/>
            <a:ext cx="201930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EVAL</a:t>
            </a:r>
            <a:r>
              <a:rPr lang="en-PH" sz="1200" b="1" u="sng" baseline="0">
                <a:latin typeface="Times New Roman" panose="02020603050405020304" pitchFamily="18" charset="0"/>
                <a:cs typeface="Times New Roman" panose="02020603050405020304" pitchFamily="18" charset="0"/>
              </a:rPr>
              <a:t> B. MAKINANO</a:t>
            </a:r>
          </a:p>
          <a:p>
            <a:pPr algn="ctr"/>
            <a:r>
              <a:rPr lang="en-PH" sz="1200">
                <a:latin typeface="Times New Roman" panose="02020603050405020304" pitchFamily="18" charset="0"/>
                <a:cs typeface="Times New Roman" panose="02020603050405020304" pitchFamily="18" charset="0"/>
              </a:rPr>
              <a:t>BAC</a:t>
            </a:r>
            <a:r>
              <a:rPr lang="en-PH" sz="1200" baseline="0">
                <a:latin typeface="Times New Roman" panose="02020603050405020304" pitchFamily="18" charset="0"/>
                <a:cs typeface="Times New Roman" panose="02020603050405020304" pitchFamily="18" charset="0"/>
              </a:rPr>
              <a:t> Vice-Chairperson</a:t>
            </a:r>
            <a:endParaRPr lang="en-PH" sz="1200">
              <a:latin typeface="Times New Roman" panose="02020603050405020304" pitchFamily="18" charset="0"/>
              <a:cs typeface="Times New Roman" panose="02020603050405020304" pitchFamily="18" charset="0"/>
            </a:endParaRPr>
          </a:p>
        </xdr:txBody>
      </xdr:sp>
      <xdr:sp macro="" textlink="">
        <xdr:nvSpPr>
          <xdr:cNvPr id="6" name="TextBox 5">
            <a:extLst>
              <a:ext uri="{FF2B5EF4-FFF2-40B4-BE49-F238E27FC236}">
                <a16:creationId xmlns:a16="http://schemas.microsoft.com/office/drawing/2014/main" id="{C6ED281E-4573-A217-4C74-7CD316D5CD7B}"/>
              </a:ext>
            </a:extLst>
          </xdr:cNvPr>
          <xdr:cNvSpPr txBox="1"/>
        </xdr:nvSpPr>
        <xdr:spPr>
          <a:xfrm>
            <a:off x="7421880" y="6964680"/>
            <a:ext cx="186690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REYNON E. ARLAN</a:t>
            </a:r>
            <a:endParaRPr lang="en-PH" sz="1200" b="1" u="sng" baseline="0">
              <a:latin typeface="Times New Roman" panose="02020603050405020304" pitchFamily="18" charset="0"/>
              <a:cs typeface="Times New Roman" panose="02020603050405020304" pitchFamily="18" charset="0"/>
            </a:endParaRPr>
          </a:p>
          <a:p>
            <a:pPr algn="ctr"/>
            <a:r>
              <a:rPr lang="en-PH" sz="1200">
                <a:latin typeface="Times New Roman" panose="02020603050405020304" pitchFamily="18" charset="0"/>
                <a:cs typeface="Times New Roman" panose="02020603050405020304" pitchFamily="18" charset="0"/>
              </a:rPr>
              <a:t>BAC Member</a:t>
            </a:r>
          </a:p>
        </xdr:txBody>
      </xdr:sp>
      <xdr:sp macro="" textlink="">
        <xdr:nvSpPr>
          <xdr:cNvPr id="7" name="TextBox 6">
            <a:extLst>
              <a:ext uri="{FF2B5EF4-FFF2-40B4-BE49-F238E27FC236}">
                <a16:creationId xmlns:a16="http://schemas.microsoft.com/office/drawing/2014/main" id="{CAAA48A7-6182-604A-0906-76E3909791DB}"/>
              </a:ext>
            </a:extLst>
          </xdr:cNvPr>
          <xdr:cNvSpPr txBox="1"/>
        </xdr:nvSpPr>
        <xdr:spPr>
          <a:xfrm>
            <a:off x="5486400" y="6964680"/>
            <a:ext cx="196596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MARISSA A. GARAY</a:t>
            </a:r>
            <a:endParaRPr lang="en-PH" sz="1200" b="1" u="sng" baseline="0">
              <a:latin typeface="Times New Roman" panose="02020603050405020304" pitchFamily="18" charset="0"/>
              <a:cs typeface="Times New Roman" panose="02020603050405020304" pitchFamily="18" charset="0"/>
            </a:endParaRPr>
          </a:p>
          <a:p>
            <a:pPr algn="ctr"/>
            <a:r>
              <a:rPr lang="en-PH" sz="1200">
                <a:latin typeface="Times New Roman" panose="02020603050405020304" pitchFamily="18" charset="0"/>
                <a:cs typeface="Times New Roman" panose="02020603050405020304" pitchFamily="18" charset="0"/>
              </a:rPr>
              <a:t>BAC Member</a:t>
            </a:r>
          </a:p>
        </xdr:txBody>
      </xdr:sp>
      <xdr:sp macro="" textlink="">
        <xdr:nvSpPr>
          <xdr:cNvPr id="8" name="TextBox 7">
            <a:extLst>
              <a:ext uri="{FF2B5EF4-FFF2-40B4-BE49-F238E27FC236}">
                <a16:creationId xmlns:a16="http://schemas.microsoft.com/office/drawing/2014/main" id="{27FD1EED-EC62-C168-6227-903E32CE8FB3}"/>
              </a:ext>
            </a:extLst>
          </xdr:cNvPr>
          <xdr:cNvSpPr txBox="1"/>
        </xdr:nvSpPr>
        <xdr:spPr>
          <a:xfrm>
            <a:off x="3512820" y="6970689"/>
            <a:ext cx="197358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GARY P. SALADORES</a:t>
            </a:r>
            <a:endParaRPr lang="en-PH" sz="1200" b="1" u="sng" baseline="0">
              <a:latin typeface="Times New Roman" panose="02020603050405020304" pitchFamily="18" charset="0"/>
              <a:cs typeface="Times New Roman" panose="02020603050405020304" pitchFamily="18" charset="0"/>
            </a:endParaRPr>
          </a:p>
          <a:p>
            <a:pPr algn="ctr"/>
            <a:r>
              <a:rPr lang="en-PH" sz="1200">
                <a:latin typeface="Times New Roman" panose="02020603050405020304" pitchFamily="18" charset="0"/>
                <a:cs typeface="Times New Roman" panose="02020603050405020304" pitchFamily="18" charset="0"/>
              </a:rPr>
              <a:t>BAC Member</a:t>
            </a:r>
          </a:p>
        </xdr:txBody>
      </xdr:sp>
      <xdr:sp macro="" textlink="">
        <xdr:nvSpPr>
          <xdr:cNvPr id="9" name="TextBox 8">
            <a:extLst>
              <a:ext uri="{FF2B5EF4-FFF2-40B4-BE49-F238E27FC236}">
                <a16:creationId xmlns:a16="http://schemas.microsoft.com/office/drawing/2014/main" id="{D3649DDE-8BB4-553E-6234-1DB1EA499EC7}"/>
              </a:ext>
            </a:extLst>
          </xdr:cNvPr>
          <xdr:cNvSpPr txBox="1"/>
        </xdr:nvSpPr>
        <xdr:spPr>
          <a:xfrm>
            <a:off x="152400" y="6970735"/>
            <a:ext cx="214884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baseline="0">
                <a:latin typeface="Times New Roman" panose="02020603050405020304" pitchFamily="18" charset="0"/>
                <a:cs typeface="Times New Roman" panose="02020603050405020304" pitchFamily="18" charset="0"/>
              </a:rPr>
              <a:t>GIOVANNI S. PAREDES</a:t>
            </a:r>
          </a:p>
          <a:p>
            <a:pPr algn="ctr"/>
            <a:r>
              <a:rPr lang="en-PH" sz="1200" b="0" u="none" baseline="0">
                <a:latin typeface="Times New Roman" panose="02020603050405020304" pitchFamily="18" charset="0"/>
                <a:cs typeface="Times New Roman" panose="02020603050405020304" pitchFamily="18" charset="0"/>
              </a:rPr>
              <a:t>Chairperson, BAC Secretariat</a:t>
            </a:r>
            <a:endParaRPr lang="en-PH" sz="1200" b="0" u="none">
              <a:latin typeface="Times New Roman" panose="02020603050405020304" pitchFamily="18" charset="0"/>
              <a:cs typeface="Times New Roman" panose="02020603050405020304" pitchFamily="18" charset="0"/>
            </a:endParaRPr>
          </a:p>
        </xdr:txBody>
      </xdr:sp>
      <xdr:sp macro="" textlink="">
        <xdr:nvSpPr>
          <xdr:cNvPr id="10" name="TextBox 9">
            <a:extLst>
              <a:ext uri="{FF2B5EF4-FFF2-40B4-BE49-F238E27FC236}">
                <a16:creationId xmlns:a16="http://schemas.microsoft.com/office/drawing/2014/main" id="{21D62C3D-FE97-AF16-150F-EE8CD25905DF}"/>
              </a:ext>
            </a:extLst>
          </xdr:cNvPr>
          <xdr:cNvSpPr txBox="1"/>
        </xdr:nvSpPr>
        <xdr:spPr>
          <a:xfrm>
            <a:off x="10142220" y="6970735"/>
            <a:ext cx="194310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baseline="0">
                <a:latin typeface="Times New Roman" panose="02020603050405020304" pitchFamily="18" charset="0"/>
                <a:cs typeface="Times New Roman" panose="02020603050405020304" pitchFamily="18" charset="0"/>
              </a:rPr>
              <a:t>RITCHEL M. BUTAO</a:t>
            </a:r>
          </a:p>
          <a:p>
            <a:pPr algn="ctr"/>
            <a:r>
              <a:rPr lang="en-PH" sz="1200" b="0" u="none" baseline="0">
                <a:latin typeface="Times New Roman" panose="02020603050405020304" pitchFamily="18" charset="0"/>
                <a:cs typeface="Times New Roman" panose="02020603050405020304" pitchFamily="18" charset="0"/>
              </a:rPr>
              <a:t>Regional Director</a:t>
            </a:r>
            <a:endParaRPr lang="en-PH" sz="1200" b="0" u="none">
              <a:latin typeface="Times New Roman" panose="02020603050405020304" pitchFamily="18" charset="0"/>
              <a:cs typeface="Times New Roman" panose="02020603050405020304" pitchFamily="18" charset="0"/>
            </a:endParaRPr>
          </a:p>
        </xdr:txBody>
      </xdr:sp>
      <xdr:sp macro="" textlink="">
        <xdr:nvSpPr>
          <xdr:cNvPr id="11" name="TextBox 10">
            <a:extLst>
              <a:ext uri="{FF2B5EF4-FFF2-40B4-BE49-F238E27FC236}">
                <a16:creationId xmlns:a16="http://schemas.microsoft.com/office/drawing/2014/main" id="{F0C75BD1-DF49-BE51-E6A0-2ABD6FAD3D20}"/>
              </a:ext>
            </a:extLst>
          </xdr:cNvPr>
          <xdr:cNvSpPr txBox="1"/>
        </xdr:nvSpPr>
        <xdr:spPr>
          <a:xfrm>
            <a:off x="114300" y="6687690"/>
            <a:ext cx="1066800" cy="306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0" u="none" baseline="0">
                <a:latin typeface="Times New Roman" panose="02020603050405020304" pitchFamily="18" charset="0"/>
                <a:cs typeface="Times New Roman" panose="02020603050405020304" pitchFamily="18" charset="0"/>
              </a:rPr>
              <a:t>Prepared By:</a:t>
            </a:r>
            <a:endParaRPr lang="en-PH" sz="1200" b="0" u="none">
              <a:latin typeface="Times New Roman" panose="02020603050405020304" pitchFamily="18" charset="0"/>
              <a:cs typeface="Times New Roman" panose="02020603050405020304" pitchFamily="18" charset="0"/>
            </a:endParaRPr>
          </a:p>
        </xdr:txBody>
      </xdr:sp>
      <xdr:sp macro="" textlink="">
        <xdr:nvSpPr>
          <xdr:cNvPr id="12" name="TextBox 11">
            <a:extLst>
              <a:ext uri="{FF2B5EF4-FFF2-40B4-BE49-F238E27FC236}">
                <a16:creationId xmlns:a16="http://schemas.microsoft.com/office/drawing/2014/main" id="{85F888DB-8B14-7489-E1BB-EC9F1C235EA0}"/>
              </a:ext>
            </a:extLst>
          </xdr:cNvPr>
          <xdr:cNvSpPr txBox="1"/>
        </xdr:nvSpPr>
        <xdr:spPr>
          <a:xfrm>
            <a:off x="9570720" y="6674061"/>
            <a:ext cx="1318260" cy="327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0" u="none" baseline="0">
                <a:latin typeface="Times New Roman" panose="02020603050405020304" pitchFamily="18" charset="0"/>
                <a:cs typeface="Times New Roman" panose="02020603050405020304" pitchFamily="18" charset="0"/>
              </a:rPr>
              <a:t>Approved By:</a:t>
            </a:r>
            <a:endParaRPr lang="en-PH" sz="1200" b="0" u="none">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3C214385-3C60-6481-160B-AAFA54B2669B}"/>
              </a:ext>
            </a:extLst>
          </xdr:cNvPr>
          <xdr:cNvSpPr txBox="1"/>
        </xdr:nvSpPr>
        <xdr:spPr>
          <a:xfrm>
            <a:off x="2667000" y="6682740"/>
            <a:ext cx="1569720" cy="306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0" u="none" baseline="0">
                <a:latin typeface="Times New Roman" panose="02020603050405020304" pitchFamily="18" charset="0"/>
                <a:cs typeface="Times New Roman" panose="02020603050405020304" pitchFamily="18" charset="0"/>
              </a:rPr>
              <a:t>Recommended By:</a:t>
            </a:r>
            <a:endParaRPr lang="en-PH" sz="1200" b="0" u="none">
              <a:latin typeface="Times New Roman" panose="02020603050405020304" pitchFamily="18" charset="0"/>
              <a:cs typeface="Times New Roman" panose="02020603050405020304" pitchFamily="18"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457199</xdr:colOff>
      <xdr:row>0</xdr:row>
      <xdr:rowOff>0</xdr:rowOff>
    </xdr:from>
    <xdr:to>
      <xdr:col>9</xdr:col>
      <xdr:colOff>706120</xdr:colOff>
      <xdr:row>6</xdr:row>
      <xdr:rowOff>220980</xdr:rowOff>
    </xdr:to>
    <xdr:pic>
      <xdr:nvPicPr>
        <xdr:cNvPr id="2" name="Picture 1">
          <a:extLst>
            <a:ext uri="{FF2B5EF4-FFF2-40B4-BE49-F238E27FC236}">
              <a16:creationId xmlns:a16="http://schemas.microsoft.com/office/drawing/2014/main" id="{9B8C8719-5FC7-4CDD-96CB-3AC2B7B20F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63979" y="0"/>
          <a:ext cx="9194801" cy="1722120"/>
        </a:xfrm>
        <a:prstGeom prst="rect">
          <a:avLst/>
        </a:prstGeom>
      </xdr:spPr>
    </xdr:pic>
    <xdr:clientData/>
  </xdr:twoCellAnchor>
  <xdr:twoCellAnchor>
    <xdr:from>
      <xdr:col>5</xdr:col>
      <xdr:colOff>22860</xdr:colOff>
      <xdr:row>30</xdr:row>
      <xdr:rowOff>10014</xdr:rowOff>
    </xdr:from>
    <xdr:to>
      <xdr:col>7</xdr:col>
      <xdr:colOff>571500</xdr:colOff>
      <xdr:row>34</xdr:row>
      <xdr:rowOff>7620</xdr:rowOff>
    </xdr:to>
    <xdr:sp macro="" textlink="">
      <xdr:nvSpPr>
        <xdr:cNvPr id="3" name="TextBox 2">
          <a:extLst>
            <a:ext uri="{FF2B5EF4-FFF2-40B4-BE49-F238E27FC236}">
              <a16:creationId xmlns:a16="http://schemas.microsoft.com/office/drawing/2014/main" id="{1D6A7F53-D94E-4AF5-9613-7BC39AE01161}"/>
            </a:ext>
          </a:extLst>
        </xdr:cNvPr>
        <xdr:cNvSpPr txBox="1"/>
      </xdr:nvSpPr>
      <xdr:spPr>
        <a:xfrm>
          <a:off x="6286500" y="7454754"/>
          <a:ext cx="2415540" cy="729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REGIENALD S. ESPALDON</a:t>
          </a:r>
        </a:p>
        <a:p>
          <a:pPr algn="ctr"/>
          <a:r>
            <a:rPr lang="en-PH" sz="1200">
              <a:latin typeface="Times New Roman" panose="02020603050405020304" pitchFamily="18" charset="0"/>
              <a:cs typeface="Times New Roman" panose="02020603050405020304" pitchFamily="18" charset="0"/>
            </a:rPr>
            <a:t>BAC Chairperson</a:t>
          </a:r>
        </a:p>
      </xdr:txBody>
    </xdr:sp>
    <xdr:clientData/>
  </xdr:twoCellAnchor>
  <xdr:twoCellAnchor>
    <xdr:from>
      <xdr:col>0</xdr:col>
      <xdr:colOff>0</xdr:colOff>
      <xdr:row>25</xdr:row>
      <xdr:rowOff>181821</xdr:rowOff>
    </xdr:from>
    <xdr:to>
      <xdr:col>11</xdr:col>
      <xdr:colOff>2540</xdr:colOff>
      <xdr:row>34</xdr:row>
      <xdr:rowOff>61351</xdr:rowOff>
    </xdr:to>
    <xdr:grpSp>
      <xdr:nvGrpSpPr>
        <xdr:cNvPr id="4" name="Group 3">
          <a:extLst>
            <a:ext uri="{FF2B5EF4-FFF2-40B4-BE49-F238E27FC236}">
              <a16:creationId xmlns:a16="http://schemas.microsoft.com/office/drawing/2014/main" id="{12590CA5-7AD1-41D0-9241-20EF74E97E09}"/>
            </a:ext>
          </a:extLst>
        </xdr:cNvPr>
        <xdr:cNvGrpSpPr/>
      </xdr:nvGrpSpPr>
      <xdr:grpSpPr>
        <a:xfrm>
          <a:off x="0" y="6595321"/>
          <a:ext cx="11750040" cy="1873430"/>
          <a:chOff x="114300" y="6674061"/>
          <a:chExt cx="11971020" cy="1815010"/>
        </a:xfrm>
      </xdr:grpSpPr>
      <xdr:sp macro="" textlink="">
        <xdr:nvSpPr>
          <xdr:cNvPr id="5" name="TextBox 4">
            <a:extLst>
              <a:ext uri="{FF2B5EF4-FFF2-40B4-BE49-F238E27FC236}">
                <a16:creationId xmlns:a16="http://schemas.microsoft.com/office/drawing/2014/main" id="{65759110-B826-36D6-8162-598E1B2C76D5}"/>
              </a:ext>
            </a:extLst>
          </xdr:cNvPr>
          <xdr:cNvSpPr txBox="1"/>
        </xdr:nvSpPr>
        <xdr:spPr>
          <a:xfrm>
            <a:off x="4183380" y="7719060"/>
            <a:ext cx="201930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EVAL</a:t>
            </a:r>
            <a:r>
              <a:rPr lang="en-PH" sz="1200" b="1" u="sng" baseline="0">
                <a:latin typeface="Times New Roman" panose="02020603050405020304" pitchFamily="18" charset="0"/>
                <a:cs typeface="Times New Roman" panose="02020603050405020304" pitchFamily="18" charset="0"/>
              </a:rPr>
              <a:t> B. MAKINANO</a:t>
            </a:r>
          </a:p>
          <a:p>
            <a:pPr algn="ctr"/>
            <a:r>
              <a:rPr lang="en-PH" sz="1200">
                <a:latin typeface="Times New Roman" panose="02020603050405020304" pitchFamily="18" charset="0"/>
                <a:cs typeface="Times New Roman" panose="02020603050405020304" pitchFamily="18" charset="0"/>
              </a:rPr>
              <a:t>BAC</a:t>
            </a:r>
            <a:r>
              <a:rPr lang="en-PH" sz="1200" baseline="0">
                <a:latin typeface="Times New Roman" panose="02020603050405020304" pitchFamily="18" charset="0"/>
                <a:cs typeface="Times New Roman" panose="02020603050405020304" pitchFamily="18" charset="0"/>
              </a:rPr>
              <a:t> Vice-Chairperson</a:t>
            </a:r>
            <a:endParaRPr lang="en-PH" sz="1200">
              <a:latin typeface="Times New Roman" panose="02020603050405020304" pitchFamily="18" charset="0"/>
              <a:cs typeface="Times New Roman" panose="02020603050405020304" pitchFamily="18" charset="0"/>
            </a:endParaRPr>
          </a:p>
        </xdr:txBody>
      </xdr:sp>
      <xdr:sp macro="" textlink="">
        <xdr:nvSpPr>
          <xdr:cNvPr id="6" name="TextBox 5">
            <a:extLst>
              <a:ext uri="{FF2B5EF4-FFF2-40B4-BE49-F238E27FC236}">
                <a16:creationId xmlns:a16="http://schemas.microsoft.com/office/drawing/2014/main" id="{45912F9F-CF4D-1B6F-5BC7-4E8FD617BC4F}"/>
              </a:ext>
            </a:extLst>
          </xdr:cNvPr>
          <xdr:cNvSpPr txBox="1"/>
        </xdr:nvSpPr>
        <xdr:spPr>
          <a:xfrm>
            <a:off x="7421880" y="6964680"/>
            <a:ext cx="186690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REYNON E. ARLAN</a:t>
            </a:r>
            <a:endParaRPr lang="en-PH" sz="1200" b="1" u="sng" baseline="0">
              <a:latin typeface="Times New Roman" panose="02020603050405020304" pitchFamily="18" charset="0"/>
              <a:cs typeface="Times New Roman" panose="02020603050405020304" pitchFamily="18" charset="0"/>
            </a:endParaRPr>
          </a:p>
          <a:p>
            <a:pPr algn="ctr"/>
            <a:r>
              <a:rPr lang="en-PH" sz="1200">
                <a:latin typeface="Times New Roman" panose="02020603050405020304" pitchFamily="18" charset="0"/>
                <a:cs typeface="Times New Roman" panose="02020603050405020304" pitchFamily="18" charset="0"/>
              </a:rPr>
              <a:t>BAC Member</a:t>
            </a:r>
          </a:p>
        </xdr:txBody>
      </xdr:sp>
      <xdr:sp macro="" textlink="">
        <xdr:nvSpPr>
          <xdr:cNvPr id="7" name="TextBox 6">
            <a:extLst>
              <a:ext uri="{FF2B5EF4-FFF2-40B4-BE49-F238E27FC236}">
                <a16:creationId xmlns:a16="http://schemas.microsoft.com/office/drawing/2014/main" id="{B1D9BF96-C919-9C77-E0F6-43A9E3B5DE0F}"/>
              </a:ext>
            </a:extLst>
          </xdr:cNvPr>
          <xdr:cNvSpPr txBox="1"/>
        </xdr:nvSpPr>
        <xdr:spPr>
          <a:xfrm>
            <a:off x="5486400" y="6964680"/>
            <a:ext cx="196596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MARISSA A. GARAY</a:t>
            </a:r>
            <a:endParaRPr lang="en-PH" sz="1200" b="1" u="sng" baseline="0">
              <a:latin typeface="Times New Roman" panose="02020603050405020304" pitchFamily="18" charset="0"/>
              <a:cs typeface="Times New Roman" panose="02020603050405020304" pitchFamily="18" charset="0"/>
            </a:endParaRPr>
          </a:p>
          <a:p>
            <a:pPr algn="ctr"/>
            <a:r>
              <a:rPr lang="en-PH" sz="1200">
                <a:latin typeface="Times New Roman" panose="02020603050405020304" pitchFamily="18" charset="0"/>
                <a:cs typeface="Times New Roman" panose="02020603050405020304" pitchFamily="18" charset="0"/>
              </a:rPr>
              <a:t>BAC Member</a:t>
            </a:r>
          </a:p>
        </xdr:txBody>
      </xdr:sp>
      <xdr:sp macro="" textlink="">
        <xdr:nvSpPr>
          <xdr:cNvPr id="8" name="TextBox 7">
            <a:extLst>
              <a:ext uri="{FF2B5EF4-FFF2-40B4-BE49-F238E27FC236}">
                <a16:creationId xmlns:a16="http://schemas.microsoft.com/office/drawing/2014/main" id="{E156A7D8-D200-B756-0DAD-39E930957149}"/>
              </a:ext>
            </a:extLst>
          </xdr:cNvPr>
          <xdr:cNvSpPr txBox="1"/>
        </xdr:nvSpPr>
        <xdr:spPr>
          <a:xfrm>
            <a:off x="3512820" y="6970689"/>
            <a:ext cx="197358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GARY P. SALADORES</a:t>
            </a:r>
            <a:endParaRPr lang="en-PH" sz="1200" b="1" u="sng" baseline="0">
              <a:latin typeface="Times New Roman" panose="02020603050405020304" pitchFamily="18" charset="0"/>
              <a:cs typeface="Times New Roman" panose="02020603050405020304" pitchFamily="18" charset="0"/>
            </a:endParaRPr>
          </a:p>
          <a:p>
            <a:pPr algn="ctr"/>
            <a:r>
              <a:rPr lang="en-PH" sz="1200">
                <a:latin typeface="Times New Roman" panose="02020603050405020304" pitchFamily="18" charset="0"/>
                <a:cs typeface="Times New Roman" panose="02020603050405020304" pitchFamily="18" charset="0"/>
              </a:rPr>
              <a:t>BAC Member</a:t>
            </a:r>
          </a:p>
        </xdr:txBody>
      </xdr:sp>
      <xdr:sp macro="" textlink="">
        <xdr:nvSpPr>
          <xdr:cNvPr id="9" name="TextBox 8">
            <a:extLst>
              <a:ext uri="{FF2B5EF4-FFF2-40B4-BE49-F238E27FC236}">
                <a16:creationId xmlns:a16="http://schemas.microsoft.com/office/drawing/2014/main" id="{095BC4DF-D18A-A6CD-ED53-688680509C83}"/>
              </a:ext>
            </a:extLst>
          </xdr:cNvPr>
          <xdr:cNvSpPr txBox="1"/>
        </xdr:nvSpPr>
        <xdr:spPr>
          <a:xfrm>
            <a:off x="152400" y="6970735"/>
            <a:ext cx="214884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baseline="0">
                <a:latin typeface="Times New Roman" panose="02020603050405020304" pitchFamily="18" charset="0"/>
                <a:cs typeface="Times New Roman" panose="02020603050405020304" pitchFamily="18" charset="0"/>
              </a:rPr>
              <a:t>GIOVANNI S. PAREDES</a:t>
            </a:r>
          </a:p>
          <a:p>
            <a:pPr algn="ctr"/>
            <a:r>
              <a:rPr lang="en-PH" sz="1200" b="0" u="none" baseline="0">
                <a:latin typeface="Times New Roman" panose="02020603050405020304" pitchFamily="18" charset="0"/>
                <a:cs typeface="Times New Roman" panose="02020603050405020304" pitchFamily="18" charset="0"/>
              </a:rPr>
              <a:t>Chairperson, BAC Secretariat</a:t>
            </a:r>
            <a:endParaRPr lang="en-PH" sz="1200" b="0" u="none">
              <a:latin typeface="Times New Roman" panose="02020603050405020304" pitchFamily="18" charset="0"/>
              <a:cs typeface="Times New Roman" panose="02020603050405020304" pitchFamily="18" charset="0"/>
            </a:endParaRPr>
          </a:p>
        </xdr:txBody>
      </xdr:sp>
      <xdr:sp macro="" textlink="">
        <xdr:nvSpPr>
          <xdr:cNvPr id="10" name="TextBox 9">
            <a:extLst>
              <a:ext uri="{FF2B5EF4-FFF2-40B4-BE49-F238E27FC236}">
                <a16:creationId xmlns:a16="http://schemas.microsoft.com/office/drawing/2014/main" id="{26DEFE1E-6A44-BF07-2A72-9323F7A0E33F}"/>
              </a:ext>
            </a:extLst>
          </xdr:cNvPr>
          <xdr:cNvSpPr txBox="1"/>
        </xdr:nvSpPr>
        <xdr:spPr>
          <a:xfrm>
            <a:off x="10142220" y="6970735"/>
            <a:ext cx="194310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baseline="0">
                <a:latin typeface="Times New Roman" panose="02020603050405020304" pitchFamily="18" charset="0"/>
                <a:cs typeface="Times New Roman" panose="02020603050405020304" pitchFamily="18" charset="0"/>
              </a:rPr>
              <a:t>RITCHEL M. BUTAO</a:t>
            </a:r>
          </a:p>
          <a:p>
            <a:pPr algn="ctr"/>
            <a:r>
              <a:rPr lang="en-PH" sz="1200" b="0" u="none" baseline="0">
                <a:latin typeface="Times New Roman" panose="02020603050405020304" pitchFamily="18" charset="0"/>
                <a:cs typeface="Times New Roman" panose="02020603050405020304" pitchFamily="18" charset="0"/>
              </a:rPr>
              <a:t>Regional Director</a:t>
            </a:r>
            <a:endParaRPr lang="en-PH" sz="1200" b="0" u="none">
              <a:latin typeface="Times New Roman" panose="02020603050405020304" pitchFamily="18" charset="0"/>
              <a:cs typeface="Times New Roman" panose="02020603050405020304" pitchFamily="18" charset="0"/>
            </a:endParaRPr>
          </a:p>
        </xdr:txBody>
      </xdr:sp>
      <xdr:sp macro="" textlink="">
        <xdr:nvSpPr>
          <xdr:cNvPr id="11" name="TextBox 10">
            <a:extLst>
              <a:ext uri="{FF2B5EF4-FFF2-40B4-BE49-F238E27FC236}">
                <a16:creationId xmlns:a16="http://schemas.microsoft.com/office/drawing/2014/main" id="{92E0519B-9855-A944-AA5D-5ECA8CE8D620}"/>
              </a:ext>
            </a:extLst>
          </xdr:cNvPr>
          <xdr:cNvSpPr txBox="1"/>
        </xdr:nvSpPr>
        <xdr:spPr>
          <a:xfrm>
            <a:off x="114300" y="6687690"/>
            <a:ext cx="1066800" cy="306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0" u="none" baseline="0">
                <a:latin typeface="Times New Roman" panose="02020603050405020304" pitchFamily="18" charset="0"/>
                <a:cs typeface="Times New Roman" panose="02020603050405020304" pitchFamily="18" charset="0"/>
              </a:rPr>
              <a:t>Prepared By:</a:t>
            </a:r>
            <a:endParaRPr lang="en-PH" sz="1200" b="0" u="none">
              <a:latin typeface="Times New Roman" panose="02020603050405020304" pitchFamily="18" charset="0"/>
              <a:cs typeface="Times New Roman" panose="02020603050405020304" pitchFamily="18" charset="0"/>
            </a:endParaRPr>
          </a:p>
        </xdr:txBody>
      </xdr:sp>
      <xdr:sp macro="" textlink="">
        <xdr:nvSpPr>
          <xdr:cNvPr id="12" name="TextBox 11">
            <a:extLst>
              <a:ext uri="{FF2B5EF4-FFF2-40B4-BE49-F238E27FC236}">
                <a16:creationId xmlns:a16="http://schemas.microsoft.com/office/drawing/2014/main" id="{8E63B3EA-E123-C44E-8614-E1B3F2823082}"/>
              </a:ext>
            </a:extLst>
          </xdr:cNvPr>
          <xdr:cNvSpPr txBox="1"/>
        </xdr:nvSpPr>
        <xdr:spPr>
          <a:xfrm>
            <a:off x="9570720" y="6674061"/>
            <a:ext cx="1318260" cy="327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0" u="none" baseline="0">
                <a:latin typeface="Times New Roman" panose="02020603050405020304" pitchFamily="18" charset="0"/>
                <a:cs typeface="Times New Roman" panose="02020603050405020304" pitchFamily="18" charset="0"/>
              </a:rPr>
              <a:t>Approved By:</a:t>
            </a:r>
            <a:endParaRPr lang="en-PH" sz="1200" b="0" u="none">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9DE9F0B5-DB9C-5ADB-DC01-894DD01767FB}"/>
              </a:ext>
            </a:extLst>
          </xdr:cNvPr>
          <xdr:cNvSpPr txBox="1"/>
        </xdr:nvSpPr>
        <xdr:spPr>
          <a:xfrm>
            <a:off x="2667000" y="6682740"/>
            <a:ext cx="1569720" cy="306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0" u="none" baseline="0">
                <a:latin typeface="Times New Roman" panose="02020603050405020304" pitchFamily="18" charset="0"/>
                <a:cs typeface="Times New Roman" panose="02020603050405020304" pitchFamily="18" charset="0"/>
              </a:rPr>
              <a:t>Recommended By:</a:t>
            </a:r>
            <a:endParaRPr lang="en-PH" sz="1200" b="0" u="none">
              <a:latin typeface="Times New Roman" panose="02020603050405020304" pitchFamily="18" charset="0"/>
              <a:cs typeface="Times New Roman" panose="02020603050405020304" pitchFamily="18"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388619</xdr:colOff>
      <xdr:row>0</xdr:row>
      <xdr:rowOff>0</xdr:rowOff>
    </xdr:from>
    <xdr:to>
      <xdr:col>9</xdr:col>
      <xdr:colOff>751840</xdr:colOff>
      <xdr:row>6</xdr:row>
      <xdr:rowOff>22860</xdr:rowOff>
    </xdr:to>
    <xdr:pic>
      <xdr:nvPicPr>
        <xdr:cNvPr id="2" name="Picture 1">
          <a:extLst>
            <a:ext uri="{FF2B5EF4-FFF2-40B4-BE49-F238E27FC236}">
              <a16:creationId xmlns:a16="http://schemas.microsoft.com/office/drawing/2014/main" id="{179835E5-30CC-4D5E-8C85-81DF7C1274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5399" y="0"/>
          <a:ext cx="9309101" cy="1524000"/>
        </a:xfrm>
        <a:prstGeom prst="rect">
          <a:avLst/>
        </a:prstGeom>
      </xdr:spPr>
    </xdr:pic>
    <xdr:clientData/>
  </xdr:twoCellAnchor>
  <xdr:twoCellAnchor>
    <xdr:from>
      <xdr:col>5</xdr:col>
      <xdr:colOff>22860</xdr:colOff>
      <xdr:row>30</xdr:row>
      <xdr:rowOff>10014</xdr:rowOff>
    </xdr:from>
    <xdr:to>
      <xdr:col>7</xdr:col>
      <xdr:colOff>571500</xdr:colOff>
      <xdr:row>34</xdr:row>
      <xdr:rowOff>7620</xdr:rowOff>
    </xdr:to>
    <xdr:sp macro="" textlink="">
      <xdr:nvSpPr>
        <xdr:cNvPr id="3" name="TextBox 2">
          <a:extLst>
            <a:ext uri="{FF2B5EF4-FFF2-40B4-BE49-F238E27FC236}">
              <a16:creationId xmlns:a16="http://schemas.microsoft.com/office/drawing/2014/main" id="{34948229-7453-472F-9EB8-FD4627CD65CD}"/>
            </a:ext>
          </a:extLst>
        </xdr:cNvPr>
        <xdr:cNvSpPr txBox="1"/>
      </xdr:nvSpPr>
      <xdr:spPr>
        <a:xfrm>
          <a:off x="6286500" y="7683354"/>
          <a:ext cx="2415540" cy="729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REGIENALD S. ESPALDON</a:t>
          </a:r>
        </a:p>
        <a:p>
          <a:pPr algn="ctr"/>
          <a:r>
            <a:rPr lang="en-PH" sz="1200">
              <a:latin typeface="Times New Roman" panose="02020603050405020304" pitchFamily="18" charset="0"/>
              <a:cs typeface="Times New Roman" panose="02020603050405020304" pitchFamily="18" charset="0"/>
            </a:rPr>
            <a:t>BAC Chairperson</a:t>
          </a:r>
        </a:p>
      </xdr:txBody>
    </xdr:sp>
    <xdr:clientData/>
  </xdr:twoCellAnchor>
  <xdr:twoCellAnchor>
    <xdr:from>
      <xdr:col>0</xdr:col>
      <xdr:colOff>0</xdr:colOff>
      <xdr:row>25</xdr:row>
      <xdr:rowOff>181821</xdr:rowOff>
    </xdr:from>
    <xdr:to>
      <xdr:col>11</xdr:col>
      <xdr:colOff>2540</xdr:colOff>
      <xdr:row>34</xdr:row>
      <xdr:rowOff>61351</xdr:rowOff>
    </xdr:to>
    <xdr:grpSp>
      <xdr:nvGrpSpPr>
        <xdr:cNvPr id="4" name="Group 3">
          <a:extLst>
            <a:ext uri="{FF2B5EF4-FFF2-40B4-BE49-F238E27FC236}">
              <a16:creationId xmlns:a16="http://schemas.microsoft.com/office/drawing/2014/main" id="{8457B959-7289-43B9-9D53-445749A672FD}"/>
            </a:ext>
          </a:extLst>
        </xdr:cNvPr>
        <xdr:cNvGrpSpPr/>
      </xdr:nvGrpSpPr>
      <xdr:grpSpPr>
        <a:xfrm>
          <a:off x="0" y="6595321"/>
          <a:ext cx="11750040" cy="1873430"/>
          <a:chOff x="114300" y="6674061"/>
          <a:chExt cx="11971020" cy="1815010"/>
        </a:xfrm>
      </xdr:grpSpPr>
      <xdr:sp macro="" textlink="">
        <xdr:nvSpPr>
          <xdr:cNvPr id="5" name="TextBox 4">
            <a:extLst>
              <a:ext uri="{FF2B5EF4-FFF2-40B4-BE49-F238E27FC236}">
                <a16:creationId xmlns:a16="http://schemas.microsoft.com/office/drawing/2014/main" id="{0ECD367B-F546-8CCF-A39C-8AE056BFA70E}"/>
              </a:ext>
            </a:extLst>
          </xdr:cNvPr>
          <xdr:cNvSpPr txBox="1"/>
        </xdr:nvSpPr>
        <xdr:spPr>
          <a:xfrm>
            <a:off x="4183380" y="7719060"/>
            <a:ext cx="201930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EVAL</a:t>
            </a:r>
            <a:r>
              <a:rPr lang="en-PH" sz="1200" b="1" u="sng" baseline="0">
                <a:latin typeface="Times New Roman" panose="02020603050405020304" pitchFamily="18" charset="0"/>
                <a:cs typeface="Times New Roman" panose="02020603050405020304" pitchFamily="18" charset="0"/>
              </a:rPr>
              <a:t> B. MAKINANO</a:t>
            </a:r>
          </a:p>
          <a:p>
            <a:pPr algn="ctr"/>
            <a:r>
              <a:rPr lang="en-PH" sz="1200">
                <a:latin typeface="Times New Roman" panose="02020603050405020304" pitchFamily="18" charset="0"/>
                <a:cs typeface="Times New Roman" panose="02020603050405020304" pitchFamily="18" charset="0"/>
              </a:rPr>
              <a:t>BAC</a:t>
            </a:r>
            <a:r>
              <a:rPr lang="en-PH" sz="1200" baseline="0">
                <a:latin typeface="Times New Roman" panose="02020603050405020304" pitchFamily="18" charset="0"/>
                <a:cs typeface="Times New Roman" panose="02020603050405020304" pitchFamily="18" charset="0"/>
              </a:rPr>
              <a:t> Vice-Chairperson</a:t>
            </a:r>
            <a:endParaRPr lang="en-PH" sz="1200">
              <a:latin typeface="Times New Roman" panose="02020603050405020304" pitchFamily="18" charset="0"/>
              <a:cs typeface="Times New Roman" panose="02020603050405020304" pitchFamily="18" charset="0"/>
            </a:endParaRPr>
          </a:p>
        </xdr:txBody>
      </xdr:sp>
      <xdr:sp macro="" textlink="">
        <xdr:nvSpPr>
          <xdr:cNvPr id="6" name="TextBox 5">
            <a:extLst>
              <a:ext uri="{FF2B5EF4-FFF2-40B4-BE49-F238E27FC236}">
                <a16:creationId xmlns:a16="http://schemas.microsoft.com/office/drawing/2014/main" id="{DDBA8A29-72DB-9913-64D8-9D70F62986E1}"/>
              </a:ext>
            </a:extLst>
          </xdr:cNvPr>
          <xdr:cNvSpPr txBox="1"/>
        </xdr:nvSpPr>
        <xdr:spPr>
          <a:xfrm>
            <a:off x="7421880" y="6964680"/>
            <a:ext cx="186690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REYNON E. ARLAN</a:t>
            </a:r>
            <a:endParaRPr lang="en-PH" sz="1200" b="1" u="sng" baseline="0">
              <a:latin typeface="Times New Roman" panose="02020603050405020304" pitchFamily="18" charset="0"/>
              <a:cs typeface="Times New Roman" panose="02020603050405020304" pitchFamily="18" charset="0"/>
            </a:endParaRPr>
          </a:p>
          <a:p>
            <a:pPr algn="ctr"/>
            <a:r>
              <a:rPr lang="en-PH" sz="1200">
                <a:latin typeface="Times New Roman" panose="02020603050405020304" pitchFamily="18" charset="0"/>
                <a:cs typeface="Times New Roman" panose="02020603050405020304" pitchFamily="18" charset="0"/>
              </a:rPr>
              <a:t>BAC Member</a:t>
            </a:r>
          </a:p>
        </xdr:txBody>
      </xdr:sp>
      <xdr:sp macro="" textlink="">
        <xdr:nvSpPr>
          <xdr:cNvPr id="7" name="TextBox 6">
            <a:extLst>
              <a:ext uri="{FF2B5EF4-FFF2-40B4-BE49-F238E27FC236}">
                <a16:creationId xmlns:a16="http://schemas.microsoft.com/office/drawing/2014/main" id="{46A8A1B4-F533-547C-04C9-74C9DA5F7D67}"/>
              </a:ext>
            </a:extLst>
          </xdr:cNvPr>
          <xdr:cNvSpPr txBox="1"/>
        </xdr:nvSpPr>
        <xdr:spPr>
          <a:xfrm>
            <a:off x="5486400" y="6964680"/>
            <a:ext cx="196596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MARISSA A. GARAY</a:t>
            </a:r>
            <a:endParaRPr lang="en-PH" sz="1200" b="1" u="sng" baseline="0">
              <a:latin typeface="Times New Roman" panose="02020603050405020304" pitchFamily="18" charset="0"/>
              <a:cs typeface="Times New Roman" panose="02020603050405020304" pitchFamily="18" charset="0"/>
            </a:endParaRPr>
          </a:p>
          <a:p>
            <a:pPr algn="ctr"/>
            <a:r>
              <a:rPr lang="en-PH" sz="1200">
                <a:latin typeface="Times New Roman" panose="02020603050405020304" pitchFamily="18" charset="0"/>
                <a:cs typeface="Times New Roman" panose="02020603050405020304" pitchFamily="18" charset="0"/>
              </a:rPr>
              <a:t>BAC Member</a:t>
            </a:r>
          </a:p>
        </xdr:txBody>
      </xdr:sp>
      <xdr:sp macro="" textlink="">
        <xdr:nvSpPr>
          <xdr:cNvPr id="8" name="TextBox 7">
            <a:extLst>
              <a:ext uri="{FF2B5EF4-FFF2-40B4-BE49-F238E27FC236}">
                <a16:creationId xmlns:a16="http://schemas.microsoft.com/office/drawing/2014/main" id="{C938F441-9793-EDD0-FA9B-DC8D3EB229A1}"/>
              </a:ext>
            </a:extLst>
          </xdr:cNvPr>
          <xdr:cNvSpPr txBox="1"/>
        </xdr:nvSpPr>
        <xdr:spPr>
          <a:xfrm>
            <a:off x="3512820" y="6970689"/>
            <a:ext cx="197358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GARY P. SALADORES</a:t>
            </a:r>
            <a:endParaRPr lang="en-PH" sz="1200" b="1" u="sng" baseline="0">
              <a:latin typeface="Times New Roman" panose="02020603050405020304" pitchFamily="18" charset="0"/>
              <a:cs typeface="Times New Roman" panose="02020603050405020304" pitchFamily="18" charset="0"/>
            </a:endParaRPr>
          </a:p>
          <a:p>
            <a:pPr algn="ctr"/>
            <a:r>
              <a:rPr lang="en-PH" sz="1200">
                <a:latin typeface="Times New Roman" panose="02020603050405020304" pitchFamily="18" charset="0"/>
                <a:cs typeface="Times New Roman" panose="02020603050405020304" pitchFamily="18" charset="0"/>
              </a:rPr>
              <a:t>BAC Member</a:t>
            </a:r>
          </a:p>
        </xdr:txBody>
      </xdr:sp>
      <xdr:sp macro="" textlink="">
        <xdr:nvSpPr>
          <xdr:cNvPr id="9" name="TextBox 8">
            <a:extLst>
              <a:ext uri="{FF2B5EF4-FFF2-40B4-BE49-F238E27FC236}">
                <a16:creationId xmlns:a16="http://schemas.microsoft.com/office/drawing/2014/main" id="{6490DC89-68AE-821C-DC17-34CB07461FD6}"/>
              </a:ext>
            </a:extLst>
          </xdr:cNvPr>
          <xdr:cNvSpPr txBox="1"/>
        </xdr:nvSpPr>
        <xdr:spPr>
          <a:xfrm>
            <a:off x="152400" y="6970735"/>
            <a:ext cx="214884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baseline="0">
                <a:latin typeface="Times New Roman" panose="02020603050405020304" pitchFamily="18" charset="0"/>
                <a:cs typeface="Times New Roman" panose="02020603050405020304" pitchFamily="18" charset="0"/>
              </a:rPr>
              <a:t>GIOVANNI S. PAREDES</a:t>
            </a:r>
          </a:p>
          <a:p>
            <a:pPr algn="ctr"/>
            <a:r>
              <a:rPr lang="en-PH" sz="1200" b="0" u="none" baseline="0">
                <a:latin typeface="Times New Roman" panose="02020603050405020304" pitchFamily="18" charset="0"/>
                <a:cs typeface="Times New Roman" panose="02020603050405020304" pitchFamily="18" charset="0"/>
              </a:rPr>
              <a:t>Chairperson, BAC Secretariat</a:t>
            </a:r>
            <a:endParaRPr lang="en-PH" sz="1200" b="0" u="none">
              <a:latin typeface="Times New Roman" panose="02020603050405020304" pitchFamily="18" charset="0"/>
              <a:cs typeface="Times New Roman" panose="02020603050405020304" pitchFamily="18" charset="0"/>
            </a:endParaRPr>
          </a:p>
        </xdr:txBody>
      </xdr:sp>
      <xdr:sp macro="" textlink="">
        <xdr:nvSpPr>
          <xdr:cNvPr id="10" name="TextBox 9">
            <a:extLst>
              <a:ext uri="{FF2B5EF4-FFF2-40B4-BE49-F238E27FC236}">
                <a16:creationId xmlns:a16="http://schemas.microsoft.com/office/drawing/2014/main" id="{4DF33228-1CFD-38C0-FCC1-3C356F5460B2}"/>
              </a:ext>
            </a:extLst>
          </xdr:cNvPr>
          <xdr:cNvSpPr txBox="1"/>
        </xdr:nvSpPr>
        <xdr:spPr>
          <a:xfrm>
            <a:off x="10142220" y="6970735"/>
            <a:ext cx="194310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baseline="0">
                <a:latin typeface="Times New Roman" panose="02020603050405020304" pitchFamily="18" charset="0"/>
                <a:cs typeface="Times New Roman" panose="02020603050405020304" pitchFamily="18" charset="0"/>
              </a:rPr>
              <a:t>RITCHEL M. BUTAO</a:t>
            </a:r>
          </a:p>
          <a:p>
            <a:pPr algn="ctr"/>
            <a:r>
              <a:rPr lang="en-PH" sz="1200" b="0" u="none" baseline="0">
                <a:latin typeface="Times New Roman" panose="02020603050405020304" pitchFamily="18" charset="0"/>
                <a:cs typeface="Times New Roman" panose="02020603050405020304" pitchFamily="18" charset="0"/>
              </a:rPr>
              <a:t>Regional Director</a:t>
            </a:r>
            <a:endParaRPr lang="en-PH" sz="1200" b="0" u="none">
              <a:latin typeface="Times New Roman" panose="02020603050405020304" pitchFamily="18" charset="0"/>
              <a:cs typeface="Times New Roman" panose="02020603050405020304" pitchFamily="18" charset="0"/>
            </a:endParaRPr>
          </a:p>
        </xdr:txBody>
      </xdr:sp>
      <xdr:sp macro="" textlink="">
        <xdr:nvSpPr>
          <xdr:cNvPr id="11" name="TextBox 10">
            <a:extLst>
              <a:ext uri="{FF2B5EF4-FFF2-40B4-BE49-F238E27FC236}">
                <a16:creationId xmlns:a16="http://schemas.microsoft.com/office/drawing/2014/main" id="{890802BC-4848-766D-7652-753F36A4A0B6}"/>
              </a:ext>
            </a:extLst>
          </xdr:cNvPr>
          <xdr:cNvSpPr txBox="1"/>
        </xdr:nvSpPr>
        <xdr:spPr>
          <a:xfrm>
            <a:off x="114300" y="6687690"/>
            <a:ext cx="1066800" cy="306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0" u="none" baseline="0">
                <a:latin typeface="Times New Roman" panose="02020603050405020304" pitchFamily="18" charset="0"/>
                <a:cs typeface="Times New Roman" panose="02020603050405020304" pitchFamily="18" charset="0"/>
              </a:rPr>
              <a:t>Prepared By:</a:t>
            </a:r>
            <a:endParaRPr lang="en-PH" sz="1200" b="0" u="none">
              <a:latin typeface="Times New Roman" panose="02020603050405020304" pitchFamily="18" charset="0"/>
              <a:cs typeface="Times New Roman" panose="02020603050405020304" pitchFamily="18" charset="0"/>
            </a:endParaRPr>
          </a:p>
        </xdr:txBody>
      </xdr:sp>
      <xdr:sp macro="" textlink="">
        <xdr:nvSpPr>
          <xdr:cNvPr id="12" name="TextBox 11">
            <a:extLst>
              <a:ext uri="{FF2B5EF4-FFF2-40B4-BE49-F238E27FC236}">
                <a16:creationId xmlns:a16="http://schemas.microsoft.com/office/drawing/2014/main" id="{DA2092C4-BFB3-9D78-155F-71EED1494685}"/>
              </a:ext>
            </a:extLst>
          </xdr:cNvPr>
          <xdr:cNvSpPr txBox="1"/>
        </xdr:nvSpPr>
        <xdr:spPr>
          <a:xfrm>
            <a:off x="9570720" y="6674061"/>
            <a:ext cx="1318260" cy="327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0" u="none" baseline="0">
                <a:latin typeface="Times New Roman" panose="02020603050405020304" pitchFamily="18" charset="0"/>
                <a:cs typeface="Times New Roman" panose="02020603050405020304" pitchFamily="18" charset="0"/>
              </a:rPr>
              <a:t>Approved By:</a:t>
            </a:r>
            <a:endParaRPr lang="en-PH" sz="1200" b="0" u="none">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39090739-637F-7B87-2F8B-E691F76DBA51}"/>
              </a:ext>
            </a:extLst>
          </xdr:cNvPr>
          <xdr:cNvSpPr txBox="1"/>
        </xdr:nvSpPr>
        <xdr:spPr>
          <a:xfrm>
            <a:off x="2667000" y="6682740"/>
            <a:ext cx="1569720" cy="306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0" u="none" baseline="0">
                <a:latin typeface="Times New Roman" panose="02020603050405020304" pitchFamily="18" charset="0"/>
                <a:cs typeface="Times New Roman" panose="02020603050405020304" pitchFamily="18" charset="0"/>
              </a:rPr>
              <a:t>Recommended By:</a:t>
            </a:r>
            <a:endParaRPr lang="en-PH" sz="1200" b="0" u="none">
              <a:latin typeface="Times New Roman" panose="02020603050405020304" pitchFamily="18" charset="0"/>
              <a:cs typeface="Times New Roman" panose="02020603050405020304" pitchFamily="18" charset="0"/>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604519</xdr:colOff>
      <xdr:row>0</xdr:row>
      <xdr:rowOff>0</xdr:rowOff>
    </xdr:from>
    <xdr:to>
      <xdr:col>9</xdr:col>
      <xdr:colOff>307340</xdr:colOff>
      <xdr:row>6</xdr:row>
      <xdr:rowOff>45720</xdr:rowOff>
    </xdr:to>
    <xdr:pic>
      <xdr:nvPicPr>
        <xdr:cNvPr id="2" name="Picture 1">
          <a:extLst>
            <a:ext uri="{FF2B5EF4-FFF2-40B4-BE49-F238E27FC236}">
              <a16:creationId xmlns:a16="http://schemas.microsoft.com/office/drawing/2014/main" id="{8B85E83C-C726-4581-95E3-793DA8458E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41219" y="0"/>
          <a:ext cx="9431021" cy="1531620"/>
        </a:xfrm>
        <a:prstGeom prst="rect">
          <a:avLst/>
        </a:prstGeom>
      </xdr:spPr>
    </xdr:pic>
    <xdr:clientData/>
  </xdr:twoCellAnchor>
  <xdr:twoCellAnchor>
    <xdr:from>
      <xdr:col>5</xdr:col>
      <xdr:colOff>22860</xdr:colOff>
      <xdr:row>35</xdr:row>
      <xdr:rowOff>10014</xdr:rowOff>
    </xdr:from>
    <xdr:to>
      <xdr:col>7</xdr:col>
      <xdr:colOff>571500</xdr:colOff>
      <xdr:row>39</xdr:row>
      <xdr:rowOff>7620</xdr:rowOff>
    </xdr:to>
    <xdr:sp macro="" textlink="">
      <xdr:nvSpPr>
        <xdr:cNvPr id="3" name="TextBox 2">
          <a:extLst>
            <a:ext uri="{FF2B5EF4-FFF2-40B4-BE49-F238E27FC236}">
              <a16:creationId xmlns:a16="http://schemas.microsoft.com/office/drawing/2014/main" id="{A4C7D8E5-B92D-4C31-98EB-80E6E4ABBDFD}"/>
            </a:ext>
          </a:extLst>
        </xdr:cNvPr>
        <xdr:cNvSpPr txBox="1"/>
      </xdr:nvSpPr>
      <xdr:spPr>
        <a:xfrm>
          <a:off x="6286500" y="7683354"/>
          <a:ext cx="2415540" cy="729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REGIENALD S. ESPALDON</a:t>
          </a:r>
        </a:p>
        <a:p>
          <a:pPr algn="ctr"/>
          <a:r>
            <a:rPr lang="en-PH" sz="1200">
              <a:latin typeface="Times New Roman" panose="02020603050405020304" pitchFamily="18" charset="0"/>
              <a:cs typeface="Times New Roman" panose="02020603050405020304" pitchFamily="18" charset="0"/>
            </a:rPr>
            <a:t>BAC Chairperson</a:t>
          </a:r>
        </a:p>
      </xdr:txBody>
    </xdr:sp>
    <xdr:clientData/>
  </xdr:twoCellAnchor>
  <xdr:twoCellAnchor>
    <xdr:from>
      <xdr:col>0</xdr:col>
      <xdr:colOff>0</xdr:colOff>
      <xdr:row>30</xdr:row>
      <xdr:rowOff>181821</xdr:rowOff>
    </xdr:from>
    <xdr:to>
      <xdr:col>11</xdr:col>
      <xdr:colOff>2540</xdr:colOff>
      <xdr:row>39</xdr:row>
      <xdr:rowOff>61351</xdr:rowOff>
    </xdr:to>
    <xdr:grpSp>
      <xdr:nvGrpSpPr>
        <xdr:cNvPr id="4" name="Group 3">
          <a:extLst>
            <a:ext uri="{FF2B5EF4-FFF2-40B4-BE49-F238E27FC236}">
              <a16:creationId xmlns:a16="http://schemas.microsoft.com/office/drawing/2014/main" id="{F8EA321A-EF1C-47E0-9639-08971187533E}"/>
            </a:ext>
          </a:extLst>
        </xdr:cNvPr>
        <xdr:cNvGrpSpPr/>
      </xdr:nvGrpSpPr>
      <xdr:grpSpPr>
        <a:xfrm>
          <a:off x="0" y="7938981"/>
          <a:ext cx="13482320" cy="1914070"/>
          <a:chOff x="114300" y="6674061"/>
          <a:chExt cx="11971020" cy="1815010"/>
        </a:xfrm>
      </xdr:grpSpPr>
      <xdr:sp macro="" textlink="">
        <xdr:nvSpPr>
          <xdr:cNvPr id="5" name="TextBox 4">
            <a:extLst>
              <a:ext uri="{FF2B5EF4-FFF2-40B4-BE49-F238E27FC236}">
                <a16:creationId xmlns:a16="http://schemas.microsoft.com/office/drawing/2014/main" id="{9C47DDB8-5D88-AD6C-5BA6-17BBEBD3000F}"/>
              </a:ext>
            </a:extLst>
          </xdr:cNvPr>
          <xdr:cNvSpPr txBox="1"/>
        </xdr:nvSpPr>
        <xdr:spPr>
          <a:xfrm>
            <a:off x="4183380" y="7719060"/>
            <a:ext cx="201930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EVAL</a:t>
            </a:r>
            <a:r>
              <a:rPr lang="en-PH" sz="1200" b="1" u="sng" baseline="0">
                <a:latin typeface="Times New Roman" panose="02020603050405020304" pitchFamily="18" charset="0"/>
                <a:cs typeface="Times New Roman" panose="02020603050405020304" pitchFamily="18" charset="0"/>
              </a:rPr>
              <a:t> B. MAKINANO</a:t>
            </a:r>
          </a:p>
          <a:p>
            <a:pPr algn="ctr"/>
            <a:r>
              <a:rPr lang="en-PH" sz="1200">
                <a:latin typeface="Times New Roman" panose="02020603050405020304" pitchFamily="18" charset="0"/>
                <a:cs typeface="Times New Roman" panose="02020603050405020304" pitchFamily="18" charset="0"/>
              </a:rPr>
              <a:t>BAC</a:t>
            </a:r>
            <a:r>
              <a:rPr lang="en-PH" sz="1200" baseline="0">
                <a:latin typeface="Times New Roman" panose="02020603050405020304" pitchFamily="18" charset="0"/>
                <a:cs typeface="Times New Roman" panose="02020603050405020304" pitchFamily="18" charset="0"/>
              </a:rPr>
              <a:t> Vice-Chairperson</a:t>
            </a:r>
            <a:endParaRPr lang="en-PH" sz="1200">
              <a:latin typeface="Times New Roman" panose="02020603050405020304" pitchFamily="18" charset="0"/>
              <a:cs typeface="Times New Roman" panose="02020603050405020304" pitchFamily="18" charset="0"/>
            </a:endParaRPr>
          </a:p>
        </xdr:txBody>
      </xdr:sp>
      <xdr:sp macro="" textlink="">
        <xdr:nvSpPr>
          <xdr:cNvPr id="6" name="TextBox 5">
            <a:extLst>
              <a:ext uri="{FF2B5EF4-FFF2-40B4-BE49-F238E27FC236}">
                <a16:creationId xmlns:a16="http://schemas.microsoft.com/office/drawing/2014/main" id="{DD177B00-45A6-5CA4-234D-1D6D5932A5CC}"/>
              </a:ext>
            </a:extLst>
          </xdr:cNvPr>
          <xdr:cNvSpPr txBox="1"/>
        </xdr:nvSpPr>
        <xdr:spPr>
          <a:xfrm>
            <a:off x="7421880" y="6964680"/>
            <a:ext cx="186690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REYNON E. ARLAN</a:t>
            </a:r>
            <a:endParaRPr lang="en-PH" sz="1200" b="1" u="sng" baseline="0">
              <a:latin typeface="Times New Roman" panose="02020603050405020304" pitchFamily="18" charset="0"/>
              <a:cs typeface="Times New Roman" panose="02020603050405020304" pitchFamily="18" charset="0"/>
            </a:endParaRPr>
          </a:p>
          <a:p>
            <a:pPr algn="ctr"/>
            <a:r>
              <a:rPr lang="en-PH" sz="1200">
                <a:latin typeface="Times New Roman" panose="02020603050405020304" pitchFamily="18" charset="0"/>
                <a:cs typeface="Times New Roman" panose="02020603050405020304" pitchFamily="18" charset="0"/>
              </a:rPr>
              <a:t>BAC Member</a:t>
            </a:r>
          </a:p>
        </xdr:txBody>
      </xdr:sp>
      <xdr:sp macro="" textlink="">
        <xdr:nvSpPr>
          <xdr:cNvPr id="7" name="TextBox 6">
            <a:extLst>
              <a:ext uri="{FF2B5EF4-FFF2-40B4-BE49-F238E27FC236}">
                <a16:creationId xmlns:a16="http://schemas.microsoft.com/office/drawing/2014/main" id="{5BDD90A9-B35B-7013-D56E-80F98BC56EA7}"/>
              </a:ext>
            </a:extLst>
          </xdr:cNvPr>
          <xdr:cNvSpPr txBox="1"/>
        </xdr:nvSpPr>
        <xdr:spPr>
          <a:xfrm>
            <a:off x="5486400" y="6964680"/>
            <a:ext cx="196596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MARISSA A. GARAY</a:t>
            </a:r>
            <a:endParaRPr lang="en-PH" sz="1200" b="1" u="sng" baseline="0">
              <a:latin typeface="Times New Roman" panose="02020603050405020304" pitchFamily="18" charset="0"/>
              <a:cs typeface="Times New Roman" panose="02020603050405020304" pitchFamily="18" charset="0"/>
            </a:endParaRPr>
          </a:p>
          <a:p>
            <a:pPr algn="ctr"/>
            <a:r>
              <a:rPr lang="en-PH" sz="1200">
                <a:latin typeface="Times New Roman" panose="02020603050405020304" pitchFamily="18" charset="0"/>
                <a:cs typeface="Times New Roman" panose="02020603050405020304" pitchFamily="18" charset="0"/>
              </a:rPr>
              <a:t>BAC Member</a:t>
            </a:r>
          </a:p>
        </xdr:txBody>
      </xdr:sp>
      <xdr:sp macro="" textlink="">
        <xdr:nvSpPr>
          <xdr:cNvPr id="8" name="TextBox 7">
            <a:extLst>
              <a:ext uri="{FF2B5EF4-FFF2-40B4-BE49-F238E27FC236}">
                <a16:creationId xmlns:a16="http://schemas.microsoft.com/office/drawing/2014/main" id="{BDE9832E-A6F5-2FF3-9977-E5DB9A9D77D1}"/>
              </a:ext>
            </a:extLst>
          </xdr:cNvPr>
          <xdr:cNvSpPr txBox="1"/>
        </xdr:nvSpPr>
        <xdr:spPr>
          <a:xfrm>
            <a:off x="3512820" y="6970689"/>
            <a:ext cx="197358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GARY P. SALADORES</a:t>
            </a:r>
            <a:endParaRPr lang="en-PH" sz="1200" b="1" u="sng" baseline="0">
              <a:latin typeface="Times New Roman" panose="02020603050405020304" pitchFamily="18" charset="0"/>
              <a:cs typeface="Times New Roman" panose="02020603050405020304" pitchFamily="18" charset="0"/>
            </a:endParaRPr>
          </a:p>
          <a:p>
            <a:pPr algn="ctr"/>
            <a:r>
              <a:rPr lang="en-PH" sz="1200">
                <a:latin typeface="Times New Roman" panose="02020603050405020304" pitchFamily="18" charset="0"/>
                <a:cs typeface="Times New Roman" panose="02020603050405020304" pitchFamily="18" charset="0"/>
              </a:rPr>
              <a:t>BAC Member</a:t>
            </a:r>
          </a:p>
        </xdr:txBody>
      </xdr:sp>
      <xdr:sp macro="" textlink="">
        <xdr:nvSpPr>
          <xdr:cNvPr id="9" name="TextBox 8">
            <a:extLst>
              <a:ext uri="{FF2B5EF4-FFF2-40B4-BE49-F238E27FC236}">
                <a16:creationId xmlns:a16="http://schemas.microsoft.com/office/drawing/2014/main" id="{A0BBF96B-3D7A-CED2-5A86-99F0D1471599}"/>
              </a:ext>
            </a:extLst>
          </xdr:cNvPr>
          <xdr:cNvSpPr txBox="1"/>
        </xdr:nvSpPr>
        <xdr:spPr>
          <a:xfrm>
            <a:off x="152400" y="6970735"/>
            <a:ext cx="214884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baseline="0">
                <a:latin typeface="Times New Roman" panose="02020603050405020304" pitchFamily="18" charset="0"/>
                <a:cs typeface="Times New Roman" panose="02020603050405020304" pitchFamily="18" charset="0"/>
              </a:rPr>
              <a:t>GIOVANNI S. PAREDES</a:t>
            </a:r>
          </a:p>
          <a:p>
            <a:pPr algn="ctr"/>
            <a:r>
              <a:rPr lang="en-PH" sz="1200" b="0" u="none" baseline="0">
                <a:latin typeface="Times New Roman" panose="02020603050405020304" pitchFamily="18" charset="0"/>
                <a:cs typeface="Times New Roman" panose="02020603050405020304" pitchFamily="18" charset="0"/>
              </a:rPr>
              <a:t>Chairperson, BAC Secretariat</a:t>
            </a:r>
            <a:endParaRPr lang="en-PH" sz="1200" b="0" u="none">
              <a:latin typeface="Times New Roman" panose="02020603050405020304" pitchFamily="18" charset="0"/>
              <a:cs typeface="Times New Roman" panose="02020603050405020304" pitchFamily="18" charset="0"/>
            </a:endParaRPr>
          </a:p>
        </xdr:txBody>
      </xdr:sp>
      <xdr:sp macro="" textlink="">
        <xdr:nvSpPr>
          <xdr:cNvPr id="10" name="TextBox 9">
            <a:extLst>
              <a:ext uri="{FF2B5EF4-FFF2-40B4-BE49-F238E27FC236}">
                <a16:creationId xmlns:a16="http://schemas.microsoft.com/office/drawing/2014/main" id="{6E13A134-C970-A4C5-E1D8-31EB654CD4D2}"/>
              </a:ext>
            </a:extLst>
          </xdr:cNvPr>
          <xdr:cNvSpPr txBox="1"/>
        </xdr:nvSpPr>
        <xdr:spPr>
          <a:xfrm>
            <a:off x="10142220" y="6970735"/>
            <a:ext cx="194310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baseline="0">
                <a:latin typeface="Times New Roman" panose="02020603050405020304" pitchFamily="18" charset="0"/>
                <a:cs typeface="Times New Roman" panose="02020603050405020304" pitchFamily="18" charset="0"/>
              </a:rPr>
              <a:t>RITCHEL M. BUTAO</a:t>
            </a:r>
          </a:p>
          <a:p>
            <a:pPr algn="ctr"/>
            <a:r>
              <a:rPr lang="en-PH" sz="1200" b="0" u="none" baseline="0">
                <a:latin typeface="Times New Roman" panose="02020603050405020304" pitchFamily="18" charset="0"/>
                <a:cs typeface="Times New Roman" panose="02020603050405020304" pitchFamily="18" charset="0"/>
              </a:rPr>
              <a:t>Regional Director</a:t>
            </a:r>
            <a:endParaRPr lang="en-PH" sz="1200" b="0" u="none">
              <a:latin typeface="Times New Roman" panose="02020603050405020304" pitchFamily="18" charset="0"/>
              <a:cs typeface="Times New Roman" panose="02020603050405020304" pitchFamily="18" charset="0"/>
            </a:endParaRPr>
          </a:p>
        </xdr:txBody>
      </xdr:sp>
      <xdr:sp macro="" textlink="">
        <xdr:nvSpPr>
          <xdr:cNvPr id="11" name="TextBox 10">
            <a:extLst>
              <a:ext uri="{FF2B5EF4-FFF2-40B4-BE49-F238E27FC236}">
                <a16:creationId xmlns:a16="http://schemas.microsoft.com/office/drawing/2014/main" id="{AF079E65-90DE-86F8-7BF9-EF07E53E7F97}"/>
              </a:ext>
            </a:extLst>
          </xdr:cNvPr>
          <xdr:cNvSpPr txBox="1"/>
        </xdr:nvSpPr>
        <xdr:spPr>
          <a:xfrm>
            <a:off x="114300" y="6687690"/>
            <a:ext cx="1066800" cy="306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0" u="none" baseline="0">
                <a:latin typeface="Times New Roman" panose="02020603050405020304" pitchFamily="18" charset="0"/>
                <a:cs typeface="Times New Roman" panose="02020603050405020304" pitchFamily="18" charset="0"/>
              </a:rPr>
              <a:t>Prepared By:</a:t>
            </a:r>
            <a:endParaRPr lang="en-PH" sz="1200" b="0" u="none">
              <a:latin typeface="Times New Roman" panose="02020603050405020304" pitchFamily="18" charset="0"/>
              <a:cs typeface="Times New Roman" panose="02020603050405020304" pitchFamily="18" charset="0"/>
            </a:endParaRPr>
          </a:p>
        </xdr:txBody>
      </xdr:sp>
      <xdr:sp macro="" textlink="">
        <xdr:nvSpPr>
          <xdr:cNvPr id="12" name="TextBox 11">
            <a:extLst>
              <a:ext uri="{FF2B5EF4-FFF2-40B4-BE49-F238E27FC236}">
                <a16:creationId xmlns:a16="http://schemas.microsoft.com/office/drawing/2014/main" id="{545E71E9-6E8F-BFA4-3E88-21EAF10245B7}"/>
              </a:ext>
            </a:extLst>
          </xdr:cNvPr>
          <xdr:cNvSpPr txBox="1"/>
        </xdr:nvSpPr>
        <xdr:spPr>
          <a:xfrm>
            <a:off x="9570720" y="6674061"/>
            <a:ext cx="1318260" cy="327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0" u="none" baseline="0">
                <a:latin typeface="Times New Roman" panose="02020603050405020304" pitchFamily="18" charset="0"/>
                <a:cs typeface="Times New Roman" panose="02020603050405020304" pitchFamily="18" charset="0"/>
              </a:rPr>
              <a:t>Approved By:</a:t>
            </a:r>
            <a:endParaRPr lang="en-PH" sz="1200" b="0" u="none">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F444691D-7A3A-09B0-6815-8ACD52C6BDAE}"/>
              </a:ext>
            </a:extLst>
          </xdr:cNvPr>
          <xdr:cNvSpPr txBox="1"/>
        </xdr:nvSpPr>
        <xdr:spPr>
          <a:xfrm>
            <a:off x="2667000" y="6682740"/>
            <a:ext cx="1569720" cy="306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0" u="none" baseline="0">
                <a:latin typeface="Times New Roman" panose="02020603050405020304" pitchFamily="18" charset="0"/>
                <a:cs typeface="Times New Roman" panose="02020603050405020304" pitchFamily="18" charset="0"/>
              </a:rPr>
              <a:t>Recommended By:</a:t>
            </a:r>
            <a:endParaRPr lang="en-PH" sz="1200" b="0" u="none">
              <a:latin typeface="Times New Roman" panose="02020603050405020304" pitchFamily="18" charset="0"/>
              <a:cs typeface="Times New Roman" panose="02020603050405020304" pitchFamily="18"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688339</xdr:colOff>
      <xdr:row>0</xdr:row>
      <xdr:rowOff>0</xdr:rowOff>
    </xdr:from>
    <xdr:to>
      <xdr:col>9</xdr:col>
      <xdr:colOff>513080</xdr:colOff>
      <xdr:row>6</xdr:row>
      <xdr:rowOff>144780</xdr:rowOff>
    </xdr:to>
    <xdr:pic>
      <xdr:nvPicPr>
        <xdr:cNvPr id="2" name="Picture 1">
          <a:extLst>
            <a:ext uri="{FF2B5EF4-FFF2-40B4-BE49-F238E27FC236}">
              <a16:creationId xmlns:a16="http://schemas.microsoft.com/office/drawing/2014/main" id="{8E71A58B-7A56-43FB-B19C-7600BECD55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339" y="0"/>
          <a:ext cx="9555481" cy="1645920"/>
        </a:xfrm>
        <a:prstGeom prst="rect">
          <a:avLst/>
        </a:prstGeom>
      </xdr:spPr>
    </xdr:pic>
    <xdr:clientData/>
  </xdr:twoCellAnchor>
  <xdr:twoCellAnchor>
    <xdr:from>
      <xdr:col>5</xdr:col>
      <xdr:colOff>22860</xdr:colOff>
      <xdr:row>35</xdr:row>
      <xdr:rowOff>10014</xdr:rowOff>
    </xdr:from>
    <xdr:to>
      <xdr:col>7</xdr:col>
      <xdr:colOff>571500</xdr:colOff>
      <xdr:row>39</xdr:row>
      <xdr:rowOff>7620</xdr:rowOff>
    </xdr:to>
    <xdr:sp macro="" textlink="">
      <xdr:nvSpPr>
        <xdr:cNvPr id="3" name="TextBox 2">
          <a:extLst>
            <a:ext uri="{FF2B5EF4-FFF2-40B4-BE49-F238E27FC236}">
              <a16:creationId xmlns:a16="http://schemas.microsoft.com/office/drawing/2014/main" id="{980DFE5C-132F-4D6C-AEA8-34E202494784}"/>
            </a:ext>
          </a:extLst>
        </xdr:cNvPr>
        <xdr:cNvSpPr txBox="1"/>
      </xdr:nvSpPr>
      <xdr:spPr>
        <a:xfrm>
          <a:off x="7109460" y="9070194"/>
          <a:ext cx="2750820" cy="729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REGIENALD S. ESPALDON</a:t>
          </a:r>
        </a:p>
        <a:p>
          <a:pPr algn="ctr"/>
          <a:r>
            <a:rPr lang="en-PH" sz="1200">
              <a:latin typeface="Times New Roman" panose="02020603050405020304" pitchFamily="18" charset="0"/>
              <a:cs typeface="Times New Roman" panose="02020603050405020304" pitchFamily="18" charset="0"/>
            </a:rPr>
            <a:t>BAC Chairperson</a:t>
          </a:r>
        </a:p>
      </xdr:txBody>
    </xdr:sp>
    <xdr:clientData/>
  </xdr:twoCellAnchor>
  <xdr:twoCellAnchor>
    <xdr:from>
      <xdr:col>0</xdr:col>
      <xdr:colOff>0</xdr:colOff>
      <xdr:row>30</xdr:row>
      <xdr:rowOff>181821</xdr:rowOff>
    </xdr:from>
    <xdr:to>
      <xdr:col>11</xdr:col>
      <xdr:colOff>2540</xdr:colOff>
      <xdr:row>39</xdr:row>
      <xdr:rowOff>61351</xdr:rowOff>
    </xdr:to>
    <xdr:grpSp>
      <xdr:nvGrpSpPr>
        <xdr:cNvPr id="4" name="Group 3">
          <a:extLst>
            <a:ext uri="{FF2B5EF4-FFF2-40B4-BE49-F238E27FC236}">
              <a16:creationId xmlns:a16="http://schemas.microsoft.com/office/drawing/2014/main" id="{B63C9F0F-1086-4097-978B-29A904337457}"/>
            </a:ext>
          </a:extLst>
        </xdr:cNvPr>
        <xdr:cNvGrpSpPr/>
      </xdr:nvGrpSpPr>
      <xdr:grpSpPr>
        <a:xfrm>
          <a:off x="0" y="7814521"/>
          <a:ext cx="13489940" cy="1873430"/>
          <a:chOff x="114300" y="6674061"/>
          <a:chExt cx="11971020" cy="1815010"/>
        </a:xfrm>
      </xdr:grpSpPr>
      <xdr:sp macro="" textlink="">
        <xdr:nvSpPr>
          <xdr:cNvPr id="5" name="TextBox 4">
            <a:extLst>
              <a:ext uri="{FF2B5EF4-FFF2-40B4-BE49-F238E27FC236}">
                <a16:creationId xmlns:a16="http://schemas.microsoft.com/office/drawing/2014/main" id="{1B30512F-5097-02ED-6EDF-5B995BEDE038}"/>
              </a:ext>
            </a:extLst>
          </xdr:cNvPr>
          <xdr:cNvSpPr txBox="1"/>
        </xdr:nvSpPr>
        <xdr:spPr>
          <a:xfrm>
            <a:off x="4183380" y="7719060"/>
            <a:ext cx="201930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EVAL</a:t>
            </a:r>
            <a:r>
              <a:rPr lang="en-PH" sz="1200" b="1" u="sng" baseline="0">
                <a:latin typeface="Times New Roman" panose="02020603050405020304" pitchFamily="18" charset="0"/>
                <a:cs typeface="Times New Roman" panose="02020603050405020304" pitchFamily="18" charset="0"/>
              </a:rPr>
              <a:t> B. MAKINANO</a:t>
            </a:r>
          </a:p>
          <a:p>
            <a:pPr algn="ctr"/>
            <a:r>
              <a:rPr lang="en-PH" sz="1200">
                <a:latin typeface="Times New Roman" panose="02020603050405020304" pitchFamily="18" charset="0"/>
                <a:cs typeface="Times New Roman" panose="02020603050405020304" pitchFamily="18" charset="0"/>
              </a:rPr>
              <a:t>BAC</a:t>
            </a:r>
            <a:r>
              <a:rPr lang="en-PH" sz="1200" baseline="0">
                <a:latin typeface="Times New Roman" panose="02020603050405020304" pitchFamily="18" charset="0"/>
                <a:cs typeface="Times New Roman" panose="02020603050405020304" pitchFamily="18" charset="0"/>
              </a:rPr>
              <a:t> Vice-Chairperson</a:t>
            </a:r>
            <a:endParaRPr lang="en-PH" sz="1200">
              <a:latin typeface="Times New Roman" panose="02020603050405020304" pitchFamily="18" charset="0"/>
              <a:cs typeface="Times New Roman" panose="02020603050405020304" pitchFamily="18" charset="0"/>
            </a:endParaRPr>
          </a:p>
        </xdr:txBody>
      </xdr:sp>
      <xdr:sp macro="" textlink="">
        <xdr:nvSpPr>
          <xdr:cNvPr id="6" name="TextBox 5">
            <a:extLst>
              <a:ext uri="{FF2B5EF4-FFF2-40B4-BE49-F238E27FC236}">
                <a16:creationId xmlns:a16="http://schemas.microsoft.com/office/drawing/2014/main" id="{86CE1718-7DD9-2333-27CD-54A0AD1938E6}"/>
              </a:ext>
            </a:extLst>
          </xdr:cNvPr>
          <xdr:cNvSpPr txBox="1"/>
        </xdr:nvSpPr>
        <xdr:spPr>
          <a:xfrm>
            <a:off x="7421880" y="6964680"/>
            <a:ext cx="186690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REYNON E. ARLAN</a:t>
            </a:r>
            <a:endParaRPr lang="en-PH" sz="1200" b="1" u="sng" baseline="0">
              <a:latin typeface="Times New Roman" panose="02020603050405020304" pitchFamily="18" charset="0"/>
              <a:cs typeface="Times New Roman" panose="02020603050405020304" pitchFamily="18" charset="0"/>
            </a:endParaRPr>
          </a:p>
          <a:p>
            <a:pPr algn="ctr"/>
            <a:r>
              <a:rPr lang="en-PH" sz="1200">
                <a:latin typeface="Times New Roman" panose="02020603050405020304" pitchFamily="18" charset="0"/>
                <a:cs typeface="Times New Roman" panose="02020603050405020304" pitchFamily="18" charset="0"/>
              </a:rPr>
              <a:t>BAC Member</a:t>
            </a:r>
          </a:p>
        </xdr:txBody>
      </xdr:sp>
      <xdr:sp macro="" textlink="">
        <xdr:nvSpPr>
          <xdr:cNvPr id="7" name="TextBox 6">
            <a:extLst>
              <a:ext uri="{FF2B5EF4-FFF2-40B4-BE49-F238E27FC236}">
                <a16:creationId xmlns:a16="http://schemas.microsoft.com/office/drawing/2014/main" id="{A40932E2-EF3D-5E11-3C57-90470640A4A4}"/>
              </a:ext>
            </a:extLst>
          </xdr:cNvPr>
          <xdr:cNvSpPr txBox="1"/>
        </xdr:nvSpPr>
        <xdr:spPr>
          <a:xfrm>
            <a:off x="5486400" y="6964680"/>
            <a:ext cx="196596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MARISSA A. GARAY</a:t>
            </a:r>
            <a:endParaRPr lang="en-PH" sz="1200" b="1" u="sng" baseline="0">
              <a:latin typeface="Times New Roman" panose="02020603050405020304" pitchFamily="18" charset="0"/>
              <a:cs typeface="Times New Roman" panose="02020603050405020304" pitchFamily="18" charset="0"/>
            </a:endParaRPr>
          </a:p>
          <a:p>
            <a:pPr algn="ctr"/>
            <a:r>
              <a:rPr lang="en-PH" sz="1200">
                <a:latin typeface="Times New Roman" panose="02020603050405020304" pitchFamily="18" charset="0"/>
                <a:cs typeface="Times New Roman" panose="02020603050405020304" pitchFamily="18" charset="0"/>
              </a:rPr>
              <a:t>BAC Member</a:t>
            </a:r>
          </a:p>
        </xdr:txBody>
      </xdr:sp>
      <xdr:sp macro="" textlink="">
        <xdr:nvSpPr>
          <xdr:cNvPr id="8" name="TextBox 7">
            <a:extLst>
              <a:ext uri="{FF2B5EF4-FFF2-40B4-BE49-F238E27FC236}">
                <a16:creationId xmlns:a16="http://schemas.microsoft.com/office/drawing/2014/main" id="{BAB15842-DA90-2A2A-5370-9B0F12772443}"/>
              </a:ext>
            </a:extLst>
          </xdr:cNvPr>
          <xdr:cNvSpPr txBox="1"/>
        </xdr:nvSpPr>
        <xdr:spPr>
          <a:xfrm>
            <a:off x="3512820" y="6970689"/>
            <a:ext cx="197358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GARY P. SALADORES</a:t>
            </a:r>
            <a:endParaRPr lang="en-PH" sz="1200" b="1" u="sng" baseline="0">
              <a:latin typeface="Times New Roman" panose="02020603050405020304" pitchFamily="18" charset="0"/>
              <a:cs typeface="Times New Roman" panose="02020603050405020304" pitchFamily="18" charset="0"/>
            </a:endParaRPr>
          </a:p>
          <a:p>
            <a:pPr algn="ctr"/>
            <a:r>
              <a:rPr lang="en-PH" sz="1200">
                <a:latin typeface="Times New Roman" panose="02020603050405020304" pitchFamily="18" charset="0"/>
                <a:cs typeface="Times New Roman" panose="02020603050405020304" pitchFamily="18" charset="0"/>
              </a:rPr>
              <a:t>BAC Member</a:t>
            </a:r>
          </a:p>
        </xdr:txBody>
      </xdr:sp>
      <xdr:sp macro="" textlink="">
        <xdr:nvSpPr>
          <xdr:cNvPr id="9" name="TextBox 8">
            <a:extLst>
              <a:ext uri="{FF2B5EF4-FFF2-40B4-BE49-F238E27FC236}">
                <a16:creationId xmlns:a16="http://schemas.microsoft.com/office/drawing/2014/main" id="{CCEBA842-607F-05E1-F5E7-1EBE45226C13}"/>
              </a:ext>
            </a:extLst>
          </xdr:cNvPr>
          <xdr:cNvSpPr txBox="1"/>
        </xdr:nvSpPr>
        <xdr:spPr>
          <a:xfrm>
            <a:off x="152400" y="6970735"/>
            <a:ext cx="214884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baseline="0">
                <a:latin typeface="Times New Roman" panose="02020603050405020304" pitchFamily="18" charset="0"/>
                <a:cs typeface="Times New Roman" panose="02020603050405020304" pitchFamily="18" charset="0"/>
              </a:rPr>
              <a:t>GIOVANNI S. PAREDES</a:t>
            </a:r>
          </a:p>
          <a:p>
            <a:pPr algn="ctr"/>
            <a:r>
              <a:rPr lang="en-PH" sz="1200" b="0" u="none" baseline="0">
                <a:latin typeface="Times New Roman" panose="02020603050405020304" pitchFamily="18" charset="0"/>
                <a:cs typeface="Times New Roman" panose="02020603050405020304" pitchFamily="18" charset="0"/>
              </a:rPr>
              <a:t>Chairperson, BAC Secretariat</a:t>
            </a:r>
            <a:endParaRPr lang="en-PH" sz="1200" b="0" u="none">
              <a:latin typeface="Times New Roman" panose="02020603050405020304" pitchFamily="18" charset="0"/>
              <a:cs typeface="Times New Roman" panose="02020603050405020304" pitchFamily="18" charset="0"/>
            </a:endParaRPr>
          </a:p>
        </xdr:txBody>
      </xdr:sp>
      <xdr:sp macro="" textlink="">
        <xdr:nvSpPr>
          <xdr:cNvPr id="10" name="TextBox 9">
            <a:extLst>
              <a:ext uri="{FF2B5EF4-FFF2-40B4-BE49-F238E27FC236}">
                <a16:creationId xmlns:a16="http://schemas.microsoft.com/office/drawing/2014/main" id="{00280A17-0F95-D34B-AEF9-C92EE038D098}"/>
              </a:ext>
            </a:extLst>
          </xdr:cNvPr>
          <xdr:cNvSpPr txBox="1"/>
        </xdr:nvSpPr>
        <xdr:spPr>
          <a:xfrm>
            <a:off x="10142220" y="6970735"/>
            <a:ext cx="194310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baseline="0">
                <a:latin typeface="Times New Roman" panose="02020603050405020304" pitchFamily="18" charset="0"/>
                <a:cs typeface="Times New Roman" panose="02020603050405020304" pitchFamily="18" charset="0"/>
              </a:rPr>
              <a:t>RITCHEL M. BUTAO</a:t>
            </a:r>
          </a:p>
          <a:p>
            <a:pPr algn="ctr"/>
            <a:r>
              <a:rPr lang="en-PH" sz="1200" b="0" u="none" baseline="0">
                <a:latin typeface="Times New Roman" panose="02020603050405020304" pitchFamily="18" charset="0"/>
                <a:cs typeface="Times New Roman" panose="02020603050405020304" pitchFamily="18" charset="0"/>
              </a:rPr>
              <a:t>Regional Director</a:t>
            </a:r>
            <a:endParaRPr lang="en-PH" sz="1200" b="0" u="none">
              <a:latin typeface="Times New Roman" panose="02020603050405020304" pitchFamily="18" charset="0"/>
              <a:cs typeface="Times New Roman" panose="02020603050405020304" pitchFamily="18" charset="0"/>
            </a:endParaRPr>
          </a:p>
        </xdr:txBody>
      </xdr:sp>
      <xdr:sp macro="" textlink="">
        <xdr:nvSpPr>
          <xdr:cNvPr id="11" name="TextBox 10">
            <a:extLst>
              <a:ext uri="{FF2B5EF4-FFF2-40B4-BE49-F238E27FC236}">
                <a16:creationId xmlns:a16="http://schemas.microsoft.com/office/drawing/2014/main" id="{00927FC4-9524-24B8-9EE4-E2ECD16C81B0}"/>
              </a:ext>
            </a:extLst>
          </xdr:cNvPr>
          <xdr:cNvSpPr txBox="1"/>
        </xdr:nvSpPr>
        <xdr:spPr>
          <a:xfrm>
            <a:off x="114300" y="6687690"/>
            <a:ext cx="1066800" cy="306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0" u="none" baseline="0">
                <a:latin typeface="Times New Roman" panose="02020603050405020304" pitchFamily="18" charset="0"/>
                <a:cs typeface="Times New Roman" panose="02020603050405020304" pitchFamily="18" charset="0"/>
              </a:rPr>
              <a:t>Prepared By:</a:t>
            </a:r>
            <a:endParaRPr lang="en-PH" sz="1200" b="0" u="none">
              <a:latin typeface="Times New Roman" panose="02020603050405020304" pitchFamily="18" charset="0"/>
              <a:cs typeface="Times New Roman" panose="02020603050405020304" pitchFamily="18" charset="0"/>
            </a:endParaRPr>
          </a:p>
        </xdr:txBody>
      </xdr:sp>
      <xdr:sp macro="" textlink="">
        <xdr:nvSpPr>
          <xdr:cNvPr id="12" name="TextBox 11">
            <a:extLst>
              <a:ext uri="{FF2B5EF4-FFF2-40B4-BE49-F238E27FC236}">
                <a16:creationId xmlns:a16="http://schemas.microsoft.com/office/drawing/2014/main" id="{32D8B5EC-7680-5506-35C0-E5713CC18242}"/>
              </a:ext>
            </a:extLst>
          </xdr:cNvPr>
          <xdr:cNvSpPr txBox="1"/>
        </xdr:nvSpPr>
        <xdr:spPr>
          <a:xfrm>
            <a:off x="9570720" y="6674061"/>
            <a:ext cx="1318260" cy="327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0" u="none" baseline="0">
                <a:latin typeface="Times New Roman" panose="02020603050405020304" pitchFamily="18" charset="0"/>
                <a:cs typeface="Times New Roman" panose="02020603050405020304" pitchFamily="18" charset="0"/>
              </a:rPr>
              <a:t>Approved By:</a:t>
            </a:r>
            <a:endParaRPr lang="en-PH" sz="1200" b="0" u="none">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9B5C568F-04A6-EB45-FE74-F43EC8AF7301}"/>
              </a:ext>
            </a:extLst>
          </xdr:cNvPr>
          <xdr:cNvSpPr txBox="1"/>
        </xdr:nvSpPr>
        <xdr:spPr>
          <a:xfrm>
            <a:off x="2667000" y="6682740"/>
            <a:ext cx="1569720" cy="306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0" u="none" baseline="0">
                <a:latin typeface="Times New Roman" panose="02020603050405020304" pitchFamily="18" charset="0"/>
                <a:cs typeface="Times New Roman" panose="02020603050405020304" pitchFamily="18" charset="0"/>
              </a:rPr>
              <a:t>Recommended By:</a:t>
            </a:r>
            <a:endParaRPr lang="en-PH" sz="1200" b="0" u="none">
              <a:latin typeface="Times New Roman" panose="02020603050405020304" pitchFamily="18" charset="0"/>
              <a:cs typeface="Times New Roman" panose="02020603050405020304" pitchFamily="18"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388619</xdr:colOff>
      <xdr:row>0</xdr:row>
      <xdr:rowOff>0</xdr:rowOff>
    </xdr:from>
    <xdr:to>
      <xdr:col>9</xdr:col>
      <xdr:colOff>866140</xdr:colOff>
      <xdr:row>6</xdr:row>
      <xdr:rowOff>15240</xdr:rowOff>
    </xdr:to>
    <xdr:pic>
      <xdr:nvPicPr>
        <xdr:cNvPr id="2" name="Picture 1">
          <a:extLst>
            <a:ext uri="{FF2B5EF4-FFF2-40B4-BE49-F238E27FC236}">
              <a16:creationId xmlns:a16="http://schemas.microsoft.com/office/drawing/2014/main" id="{4FD65F54-5B33-4A0A-9EC3-218E5ABDA1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5399" y="0"/>
          <a:ext cx="9423401" cy="1516380"/>
        </a:xfrm>
        <a:prstGeom prst="rect">
          <a:avLst/>
        </a:prstGeom>
      </xdr:spPr>
    </xdr:pic>
    <xdr:clientData/>
  </xdr:twoCellAnchor>
  <xdr:twoCellAnchor>
    <xdr:from>
      <xdr:col>5</xdr:col>
      <xdr:colOff>22860</xdr:colOff>
      <xdr:row>30</xdr:row>
      <xdr:rowOff>10014</xdr:rowOff>
    </xdr:from>
    <xdr:to>
      <xdr:col>7</xdr:col>
      <xdr:colOff>571500</xdr:colOff>
      <xdr:row>34</xdr:row>
      <xdr:rowOff>7620</xdr:rowOff>
    </xdr:to>
    <xdr:sp macro="" textlink="">
      <xdr:nvSpPr>
        <xdr:cNvPr id="3" name="TextBox 2">
          <a:extLst>
            <a:ext uri="{FF2B5EF4-FFF2-40B4-BE49-F238E27FC236}">
              <a16:creationId xmlns:a16="http://schemas.microsoft.com/office/drawing/2014/main" id="{4719CD4E-D780-433F-BA5E-334FE7125A7B}"/>
            </a:ext>
          </a:extLst>
        </xdr:cNvPr>
        <xdr:cNvSpPr txBox="1"/>
      </xdr:nvSpPr>
      <xdr:spPr>
        <a:xfrm>
          <a:off x="6286500" y="7683354"/>
          <a:ext cx="2415540" cy="729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REGIENALD S. ESPALDON</a:t>
          </a:r>
        </a:p>
        <a:p>
          <a:pPr algn="ctr"/>
          <a:r>
            <a:rPr lang="en-PH" sz="1200">
              <a:latin typeface="Times New Roman" panose="02020603050405020304" pitchFamily="18" charset="0"/>
              <a:cs typeface="Times New Roman" panose="02020603050405020304" pitchFamily="18" charset="0"/>
            </a:rPr>
            <a:t>BAC Chairperson</a:t>
          </a:r>
        </a:p>
      </xdr:txBody>
    </xdr:sp>
    <xdr:clientData/>
  </xdr:twoCellAnchor>
  <xdr:twoCellAnchor>
    <xdr:from>
      <xdr:col>0</xdr:col>
      <xdr:colOff>0</xdr:colOff>
      <xdr:row>25</xdr:row>
      <xdr:rowOff>181821</xdr:rowOff>
    </xdr:from>
    <xdr:to>
      <xdr:col>11</xdr:col>
      <xdr:colOff>2540</xdr:colOff>
      <xdr:row>34</xdr:row>
      <xdr:rowOff>61351</xdr:rowOff>
    </xdr:to>
    <xdr:grpSp>
      <xdr:nvGrpSpPr>
        <xdr:cNvPr id="4" name="Group 3">
          <a:extLst>
            <a:ext uri="{FF2B5EF4-FFF2-40B4-BE49-F238E27FC236}">
              <a16:creationId xmlns:a16="http://schemas.microsoft.com/office/drawing/2014/main" id="{F296864C-F798-4DE1-B869-386678ECA866}"/>
            </a:ext>
          </a:extLst>
        </xdr:cNvPr>
        <xdr:cNvGrpSpPr/>
      </xdr:nvGrpSpPr>
      <xdr:grpSpPr>
        <a:xfrm>
          <a:off x="0" y="6552141"/>
          <a:ext cx="11737340" cy="1914070"/>
          <a:chOff x="114300" y="6674061"/>
          <a:chExt cx="11971020" cy="1815010"/>
        </a:xfrm>
      </xdr:grpSpPr>
      <xdr:sp macro="" textlink="">
        <xdr:nvSpPr>
          <xdr:cNvPr id="5" name="TextBox 4">
            <a:extLst>
              <a:ext uri="{FF2B5EF4-FFF2-40B4-BE49-F238E27FC236}">
                <a16:creationId xmlns:a16="http://schemas.microsoft.com/office/drawing/2014/main" id="{26900DBA-6EB0-1870-B35C-08F5AF604152}"/>
              </a:ext>
            </a:extLst>
          </xdr:cNvPr>
          <xdr:cNvSpPr txBox="1"/>
        </xdr:nvSpPr>
        <xdr:spPr>
          <a:xfrm>
            <a:off x="4183380" y="7719060"/>
            <a:ext cx="201930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EVAL</a:t>
            </a:r>
            <a:r>
              <a:rPr lang="en-PH" sz="1200" b="1" u="sng" baseline="0">
                <a:latin typeface="Times New Roman" panose="02020603050405020304" pitchFamily="18" charset="0"/>
                <a:cs typeface="Times New Roman" panose="02020603050405020304" pitchFamily="18" charset="0"/>
              </a:rPr>
              <a:t> B. MAKINANO</a:t>
            </a:r>
          </a:p>
          <a:p>
            <a:pPr algn="ctr"/>
            <a:r>
              <a:rPr lang="en-PH" sz="1200">
                <a:latin typeface="Times New Roman" panose="02020603050405020304" pitchFamily="18" charset="0"/>
                <a:cs typeface="Times New Roman" panose="02020603050405020304" pitchFamily="18" charset="0"/>
              </a:rPr>
              <a:t>BAC</a:t>
            </a:r>
            <a:r>
              <a:rPr lang="en-PH" sz="1200" baseline="0">
                <a:latin typeface="Times New Roman" panose="02020603050405020304" pitchFamily="18" charset="0"/>
                <a:cs typeface="Times New Roman" panose="02020603050405020304" pitchFamily="18" charset="0"/>
              </a:rPr>
              <a:t> Vice-Chairperson</a:t>
            </a:r>
            <a:endParaRPr lang="en-PH" sz="1200">
              <a:latin typeface="Times New Roman" panose="02020603050405020304" pitchFamily="18" charset="0"/>
              <a:cs typeface="Times New Roman" panose="02020603050405020304" pitchFamily="18" charset="0"/>
            </a:endParaRPr>
          </a:p>
        </xdr:txBody>
      </xdr:sp>
      <xdr:sp macro="" textlink="">
        <xdr:nvSpPr>
          <xdr:cNvPr id="6" name="TextBox 5">
            <a:extLst>
              <a:ext uri="{FF2B5EF4-FFF2-40B4-BE49-F238E27FC236}">
                <a16:creationId xmlns:a16="http://schemas.microsoft.com/office/drawing/2014/main" id="{689D3069-C7A8-86C1-E961-8869A664EAC0}"/>
              </a:ext>
            </a:extLst>
          </xdr:cNvPr>
          <xdr:cNvSpPr txBox="1"/>
        </xdr:nvSpPr>
        <xdr:spPr>
          <a:xfrm>
            <a:off x="7421880" y="6964680"/>
            <a:ext cx="186690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REYNON E. ARLAN</a:t>
            </a:r>
            <a:endParaRPr lang="en-PH" sz="1200" b="1" u="sng" baseline="0">
              <a:latin typeface="Times New Roman" panose="02020603050405020304" pitchFamily="18" charset="0"/>
              <a:cs typeface="Times New Roman" panose="02020603050405020304" pitchFamily="18" charset="0"/>
            </a:endParaRPr>
          </a:p>
          <a:p>
            <a:pPr algn="ctr"/>
            <a:r>
              <a:rPr lang="en-PH" sz="1200">
                <a:latin typeface="Times New Roman" panose="02020603050405020304" pitchFamily="18" charset="0"/>
                <a:cs typeface="Times New Roman" panose="02020603050405020304" pitchFamily="18" charset="0"/>
              </a:rPr>
              <a:t>BAC Member</a:t>
            </a:r>
          </a:p>
        </xdr:txBody>
      </xdr:sp>
      <xdr:sp macro="" textlink="">
        <xdr:nvSpPr>
          <xdr:cNvPr id="7" name="TextBox 6">
            <a:extLst>
              <a:ext uri="{FF2B5EF4-FFF2-40B4-BE49-F238E27FC236}">
                <a16:creationId xmlns:a16="http://schemas.microsoft.com/office/drawing/2014/main" id="{F3FCAE80-9A3E-802F-9086-52686DD29AD0}"/>
              </a:ext>
            </a:extLst>
          </xdr:cNvPr>
          <xdr:cNvSpPr txBox="1"/>
        </xdr:nvSpPr>
        <xdr:spPr>
          <a:xfrm>
            <a:off x="5486400" y="6964680"/>
            <a:ext cx="196596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MARISSA A. GARAY</a:t>
            </a:r>
            <a:endParaRPr lang="en-PH" sz="1200" b="1" u="sng" baseline="0">
              <a:latin typeface="Times New Roman" panose="02020603050405020304" pitchFamily="18" charset="0"/>
              <a:cs typeface="Times New Roman" panose="02020603050405020304" pitchFamily="18" charset="0"/>
            </a:endParaRPr>
          </a:p>
          <a:p>
            <a:pPr algn="ctr"/>
            <a:r>
              <a:rPr lang="en-PH" sz="1200">
                <a:latin typeface="Times New Roman" panose="02020603050405020304" pitchFamily="18" charset="0"/>
                <a:cs typeface="Times New Roman" panose="02020603050405020304" pitchFamily="18" charset="0"/>
              </a:rPr>
              <a:t>BAC Member</a:t>
            </a:r>
          </a:p>
        </xdr:txBody>
      </xdr:sp>
      <xdr:sp macro="" textlink="">
        <xdr:nvSpPr>
          <xdr:cNvPr id="8" name="TextBox 7">
            <a:extLst>
              <a:ext uri="{FF2B5EF4-FFF2-40B4-BE49-F238E27FC236}">
                <a16:creationId xmlns:a16="http://schemas.microsoft.com/office/drawing/2014/main" id="{E677C0F9-781E-2589-66CC-2BC33979862D}"/>
              </a:ext>
            </a:extLst>
          </xdr:cNvPr>
          <xdr:cNvSpPr txBox="1"/>
        </xdr:nvSpPr>
        <xdr:spPr>
          <a:xfrm>
            <a:off x="3512820" y="6970689"/>
            <a:ext cx="197358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GARY P. SALADORES</a:t>
            </a:r>
            <a:endParaRPr lang="en-PH" sz="1200" b="1" u="sng" baseline="0">
              <a:latin typeface="Times New Roman" panose="02020603050405020304" pitchFamily="18" charset="0"/>
              <a:cs typeface="Times New Roman" panose="02020603050405020304" pitchFamily="18" charset="0"/>
            </a:endParaRPr>
          </a:p>
          <a:p>
            <a:pPr algn="ctr"/>
            <a:r>
              <a:rPr lang="en-PH" sz="1200">
                <a:latin typeface="Times New Roman" panose="02020603050405020304" pitchFamily="18" charset="0"/>
                <a:cs typeface="Times New Roman" panose="02020603050405020304" pitchFamily="18" charset="0"/>
              </a:rPr>
              <a:t>BAC Member</a:t>
            </a:r>
          </a:p>
        </xdr:txBody>
      </xdr:sp>
      <xdr:sp macro="" textlink="">
        <xdr:nvSpPr>
          <xdr:cNvPr id="9" name="TextBox 8">
            <a:extLst>
              <a:ext uri="{FF2B5EF4-FFF2-40B4-BE49-F238E27FC236}">
                <a16:creationId xmlns:a16="http://schemas.microsoft.com/office/drawing/2014/main" id="{933505DC-0531-ABE4-4118-8BD4B68716B0}"/>
              </a:ext>
            </a:extLst>
          </xdr:cNvPr>
          <xdr:cNvSpPr txBox="1"/>
        </xdr:nvSpPr>
        <xdr:spPr>
          <a:xfrm>
            <a:off x="152400" y="6970735"/>
            <a:ext cx="214884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baseline="0">
                <a:latin typeface="Times New Roman" panose="02020603050405020304" pitchFamily="18" charset="0"/>
                <a:cs typeface="Times New Roman" panose="02020603050405020304" pitchFamily="18" charset="0"/>
              </a:rPr>
              <a:t>GIOVANNI S. PAREDES</a:t>
            </a:r>
          </a:p>
          <a:p>
            <a:pPr algn="ctr"/>
            <a:r>
              <a:rPr lang="en-PH" sz="1200" b="0" u="none" baseline="0">
                <a:latin typeface="Times New Roman" panose="02020603050405020304" pitchFamily="18" charset="0"/>
                <a:cs typeface="Times New Roman" panose="02020603050405020304" pitchFamily="18" charset="0"/>
              </a:rPr>
              <a:t>Chairperson, BAC Secretariat</a:t>
            </a:r>
            <a:endParaRPr lang="en-PH" sz="1200" b="0" u="none">
              <a:latin typeface="Times New Roman" panose="02020603050405020304" pitchFamily="18" charset="0"/>
              <a:cs typeface="Times New Roman" panose="02020603050405020304" pitchFamily="18" charset="0"/>
            </a:endParaRPr>
          </a:p>
        </xdr:txBody>
      </xdr:sp>
      <xdr:sp macro="" textlink="">
        <xdr:nvSpPr>
          <xdr:cNvPr id="10" name="TextBox 9">
            <a:extLst>
              <a:ext uri="{FF2B5EF4-FFF2-40B4-BE49-F238E27FC236}">
                <a16:creationId xmlns:a16="http://schemas.microsoft.com/office/drawing/2014/main" id="{AAA60C84-D008-59C7-E1C0-3908BA591556}"/>
              </a:ext>
            </a:extLst>
          </xdr:cNvPr>
          <xdr:cNvSpPr txBox="1"/>
        </xdr:nvSpPr>
        <xdr:spPr>
          <a:xfrm>
            <a:off x="10142220" y="6970735"/>
            <a:ext cx="194310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baseline="0">
                <a:latin typeface="Times New Roman" panose="02020603050405020304" pitchFamily="18" charset="0"/>
                <a:cs typeface="Times New Roman" panose="02020603050405020304" pitchFamily="18" charset="0"/>
              </a:rPr>
              <a:t>RITCHEL M. BUTAO</a:t>
            </a:r>
          </a:p>
          <a:p>
            <a:pPr algn="ctr"/>
            <a:r>
              <a:rPr lang="en-PH" sz="1200" b="0" u="none" baseline="0">
                <a:latin typeface="Times New Roman" panose="02020603050405020304" pitchFamily="18" charset="0"/>
                <a:cs typeface="Times New Roman" panose="02020603050405020304" pitchFamily="18" charset="0"/>
              </a:rPr>
              <a:t>Regional Director</a:t>
            </a:r>
            <a:endParaRPr lang="en-PH" sz="1200" b="0" u="none">
              <a:latin typeface="Times New Roman" panose="02020603050405020304" pitchFamily="18" charset="0"/>
              <a:cs typeface="Times New Roman" panose="02020603050405020304" pitchFamily="18" charset="0"/>
            </a:endParaRPr>
          </a:p>
        </xdr:txBody>
      </xdr:sp>
      <xdr:sp macro="" textlink="">
        <xdr:nvSpPr>
          <xdr:cNvPr id="11" name="TextBox 10">
            <a:extLst>
              <a:ext uri="{FF2B5EF4-FFF2-40B4-BE49-F238E27FC236}">
                <a16:creationId xmlns:a16="http://schemas.microsoft.com/office/drawing/2014/main" id="{DDAC591D-9508-9436-03FF-D779908271CA}"/>
              </a:ext>
            </a:extLst>
          </xdr:cNvPr>
          <xdr:cNvSpPr txBox="1"/>
        </xdr:nvSpPr>
        <xdr:spPr>
          <a:xfrm>
            <a:off x="114300" y="6687690"/>
            <a:ext cx="1066800" cy="306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0" u="none" baseline="0">
                <a:latin typeface="Times New Roman" panose="02020603050405020304" pitchFamily="18" charset="0"/>
                <a:cs typeface="Times New Roman" panose="02020603050405020304" pitchFamily="18" charset="0"/>
              </a:rPr>
              <a:t>Prepared By:</a:t>
            </a:r>
            <a:endParaRPr lang="en-PH" sz="1200" b="0" u="none">
              <a:latin typeface="Times New Roman" panose="02020603050405020304" pitchFamily="18" charset="0"/>
              <a:cs typeface="Times New Roman" panose="02020603050405020304" pitchFamily="18" charset="0"/>
            </a:endParaRPr>
          </a:p>
        </xdr:txBody>
      </xdr:sp>
      <xdr:sp macro="" textlink="">
        <xdr:nvSpPr>
          <xdr:cNvPr id="12" name="TextBox 11">
            <a:extLst>
              <a:ext uri="{FF2B5EF4-FFF2-40B4-BE49-F238E27FC236}">
                <a16:creationId xmlns:a16="http://schemas.microsoft.com/office/drawing/2014/main" id="{8F4AA5BD-8745-2585-F32E-8C754499A715}"/>
              </a:ext>
            </a:extLst>
          </xdr:cNvPr>
          <xdr:cNvSpPr txBox="1"/>
        </xdr:nvSpPr>
        <xdr:spPr>
          <a:xfrm>
            <a:off x="9570720" y="6674061"/>
            <a:ext cx="1318260" cy="327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0" u="none" baseline="0">
                <a:latin typeface="Times New Roman" panose="02020603050405020304" pitchFamily="18" charset="0"/>
                <a:cs typeface="Times New Roman" panose="02020603050405020304" pitchFamily="18" charset="0"/>
              </a:rPr>
              <a:t>Approved By:</a:t>
            </a:r>
            <a:endParaRPr lang="en-PH" sz="1200" b="0" u="none">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20C0ED34-1266-E34F-FD24-03FD59CF1EE5}"/>
              </a:ext>
            </a:extLst>
          </xdr:cNvPr>
          <xdr:cNvSpPr txBox="1"/>
        </xdr:nvSpPr>
        <xdr:spPr>
          <a:xfrm>
            <a:off x="2667000" y="6682740"/>
            <a:ext cx="1569720" cy="306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0" u="none" baseline="0">
                <a:latin typeface="Times New Roman" panose="02020603050405020304" pitchFamily="18" charset="0"/>
                <a:cs typeface="Times New Roman" panose="02020603050405020304" pitchFamily="18" charset="0"/>
              </a:rPr>
              <a:t>Recommended By:</a:t>
            </a:r>
            <a:endParaRPr lang="en-PH" sz="1200" b="0" u="none">
              <a:latin typeface="Times New Roman" panose="02020603050405020304" pitchFamily="18" charset="0"/>
              <a:cs typeface="Times New Roman" panose="02020603050405020304" pitchFamily="18" charset="0"/>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388619</xdr:colOff>
      <xdr:row>0</xdr:row>
      <xdr:rowOff>0</xdr:rowOff>
    </xdr:from>
    <xdr:to>
      <xdr:col>9</xdr:col>
      <xdr:colOff>850900</xdr:colOff>
      <xdr:row>6</xdr:row>
      <xdr:rowOff>152400</xdr:rowOff>
    </xdr:to>
    <xdr:pic>
      <xdr:nvPicPr>
        <xdr:cNvPr id="2" name="Picture 1">
          <a:extLst>
            <a:ext uri="{FF2B5EF4-FFF2-40B4-BE49-F238E27FC236}">
              <a16:creationId xmlns:a16="http://schemas.microsoft.com/office/drawing/2014/main" id="{4E392351-7088-40F0-A3AE-338446BD0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5399" y="0"/>
          <a:ext cx="9545321" cy="1653540"/>
        </a:xfrm>
        <a:prstGeom prst="rect">
          <a:avLst/>
        </a:prstGeom>
      </xdr:spPr>
    </xdr:pic>
    <xdr:clientData/>
  </xdr:twoCellAnchor>
  <xdr:twoCellAnchor>
    <xdr:from>
      <xdr:col>5</xdr:col>
      <xdr:colOff>22860</xdr:colOff>
      <xdr:row>30</xdr:row>
      <xdr:rowOff>10014</xdr:rowOff>
    </xdr:from>
    <xdr:to>
      <xdr:col>7</xdr:col>
      <xdr:colOff>571500</xdr:colOff>
      <xdr:row>34</xdr:row>
      <xdr:rowOff>7620</xdr:rowOff>
    </xdr:to>
    <xdr:sp macro="" textlink="">
      <xdr:nvSpPr>
        <xdr:cNvPr id="3" name="TextBox 2">
          <a:extLst>
            <a:ext uri="{FF2B5EF4-FFF2-40B4-BE49-F238E27FC236}">
              <a16:creationId xmlns:a16="http://schemas.microsoft.com/office/drawing/2014/main" id="{6A400EF3-414F-499F-A303-DAC757566EC3}"/>
            </a:ext>
          </a:extLst>
        </xdr:cNvPr>
        <xdr:cNvSpPr txBox="1"/>
      </xdr:nvSpPr>
      <xdr:spPr>
        <a:xfrm>
          <a:off x="6286500" y="7683354"/>
          <a:ext cx="2415540" cy="729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REGIENALD S. ESPALDON</a:t>
          </a:r>
        </a:p>
        <a:p>
          <a:pPr algn="ctr"/>
          <a:r>
            <a:rPr lang="en-PH" sz="1200">
              <a:latin typeface="Times New Roman" panose="02020603050405020304" pitchFamily="18" charset="0"/>
              <a:cs typeface="Times New Roman" panose="02020603050405020304" pitchFamily="18" charset="0"/>
            </a:rPr>
            <a:t>BAC Chairperson</a:t>
          </a:r>
        </a:p>
      </xdr:txBody>
    </xdr:sp>
    <xdr:clientData/>
  </xdr:twoCellAnchor>
  <xdr:twoCellAnchor>
    <xdr:from>
      <xdr:col>0</xdr:col>
      <xdr:colOff>0</xdr:colOff>
      <xdr:row>25</xdr:row>
      <xdr:rowOff>181821</xdr:rowOff>
    </xdr:from>
    <xdr:to>
      <xdr:col>11</xdr:col>
      <xdr:colOff>2540</xdr:colOff>
      <xdr:row>34</xdr:row>
      <xdr:rowOff>61351</xdr:rowOff>
    </xdr:to>
    <xdr:grpSp>
      <xdr:nvGrpSpPr>
        <xdr:cNvPr id="4" name="Group 3">
          <a:extLst>
            <a:ext uri="{FF2B5EF4-FFF2-40B4-BE49-F238E27FC236}">
              <a16:creationId xmlns:a16="http://schemas.microsoft.com/office/drawing/2014/main" id="{982175DC-D462-46A2-92DE-EAD3C5F1B239}"/>
            </a:ext>
          </a:extLst>
        </xdr:cNvPr>
        <xdr:cNvGrpSpPr/>
      </xdr:nvGrpSpPr>
      <xdr:grpSpPr>
        <a:xfrm>
          <a:off x="0" y="6712161"/>
          <a:ext cx="11874500" cy="1914070"/>
          <a:chOff x="114300" y="6674061"/>
          <a:chExt cx="11971020" cy="1815010"/>
        </a:xfrm>
      </xdr:grpSpPr>
      <xdr:sp macro="" textlink="">
        <xdr:nvSpPr>
          <xdr:cNvPr id="5" name="TextBox 4">
            <a:extLst>
              <a:ext uri="{FF2B5EF4-FFF2-40B4-BE49-F238E27FC236}">
                <a16:creationId xmlns:a16="http://schemas.microsoft.com/office/drawing/2014/main" id="{BC54FD4D-521A-88AE-A5B3-6550C48C69E8}"/>
              </a:ext>
            </a:extLst>
          </xdr:cNvPr>
          <xdr:cNvSpPr txBox="1"/>
        </xdr:nvSpPr>
        <xdr:spPr>
          <a:xfrm>
            <a:off x="4183380" y="7719060"/>
            <a:ext cx="201930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EVAL</a:t>
            </a:r>
            <a:r>
              <a:rPr lang="en-PH" sz="1200" b="1" u="sng" baseline="0">
                <a:latin typeface="Times New Roman" panose="02020603050405020304" pitchFamily="18" charset="0"/>
                <a:cs typeface="Times New Roman" panose="02020603050405020304" pitchFamily="18" charset="0"/>
              </a:rPr>
              <a:t> B. MAKINANO</a:t>
            </a:r>
          </a:p>
          <a:p>
            <a:pPr algn="ctr"/>
            <a:r>
              <a:rPr lang="en-PH" sz="1200">
                <a:latin typeface="Times New Roman" panose="02020603050405020304" pitchFamily="18" charset="0"/>
                <a:cs typeface="Times New Roman" panose="02020603050405020304" pitchFamily="18" charset="0"/>
              </a:rPr>
              <a:t>BAC</a:t>
            </a:r>
            <a:r>
              <a:rPr lang="en-PH" sz="1200" baseline="0">
                <a:latin typeface="Times New Roman" panose="02020603050405020304" pitchFamily="18" charset="0"/>
                <a:cs typeface="Times New Roman" panose="02020603050405020304" pitchFamily="18" charset="0"/>
              </a:rPr>
              <a:t> Vice-Chairperson</a:t>
            </a:r>
            <a:endParaRPr lang="en-PH" sz="1200">
              <a:latin typeface="Times New Roman" panose="02020603050405020304" pitchFamily="18" charset="0"/>
              <a:cs typeface="Times New Roman" panose="02020603050405020304" pitchFamily="18" charset="0"/>
            </a:endParaRPr>
          </a:p>
        </xdr:txBody>
      </xdr:sp>
      <xdr:sp macro="" textlink="">
        <xdr:nvSpPr>
          <xdr:cNvPr id="6" name="TextBox 5">
            <a:extLst>
              <a:ext uri="{FF2B5EF4-FFF2-40B4-BE49-F238E27FC236}">
                <a16:creationId xmlns:a16="http://schemas.microsoft.com/office/drawing/2014/main" id="{883FA53A-99B3-792D-EDF9-BAEC9C531CC9}"/>
              </a:ext>
            </a:extLst>
          </xdr:cNvPr>
          <xdr:cNvSpPr txBox="1"/>
        </xdr:nvSpPr>
        <xdr:spPr>
          <a:xfrm>
            <a:off x="7421880" y="6964680"/>
            <a:ext cx="186690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REYNON E. ARLAN</a:t>
            </a:r>
            <a:endParaRPr lang="en-PH" sz="1200" b="1" u="sng" baseline="0">
              <a:latin typeface="Times New Roman" panose="02020603050405020304" pitchFamily="18" charset="0"/>
              <a:cs typeface="Times New Roman" panose="02020603050405020304" pitchFamily="18" charset="0"/>
            </a:endParaRPr>
          </a:p>
          <a:p>
            <a:pPr algn="ctr"/>
            <a:r>
              <a:rPr lang="en-PH" sz="1200">
                <a:latin typeface="Times New Roman" panose="02020603050405020304" pitchFamily="18" charset="0"/>
                <a:cs typeface="Times New Roman" panose="02020603050405020304" pitchFamily="18" charset="0"/>
              </a:rPr>
              <a:t>BAC Member</a:t>
            </a:r>
          </a:p>
        </xdr:txBody>
      </xdr:sp>
      <xdr:sp macro="" textlink="">
        <xdr:nvSpPr>
          <xdr:cNvPr id="7" name="TextBox 6">
            <a:extLst>
              <a:ext uri="{FF2B5EF4-FFF2-40B4-BE49-F238E27FC236}">
                <a16:creationId xmlns:a16="http://schemas.microsoft.com/office/drawing/2014/main" id="{A3221DA0-D2C8-B64D-4D5A-13FFC94D7092}"/>
              </a:ext>
            </a:extLst>
          </xdr:cNvPr>
          <xdr:cNvSpPr txBox="1"/>
        </xdr:nvSpPr>
        <xdr:spPr>
          <a:xfrm>
            <a:off x="5486400" y="6964680"/>
            <a:ext cx="196596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MARISSA A. GARAY</a:t>
            </a:r>
            <a:endParaRPr lang="en-PH" sz="1200" b="1" u="sng" baseline="0">
              <a:latin typeface="Times New Roman" panose="02020603050405020304" pitchFamily="18" charset="0"/>
              <a:cs typeface="Times New Roman" panose="02020603050405020304" pitchFamily="18" charset="0"/>
            </a:endParaRPr>
          </a:p>
          <a:p>
            <a:pPr algn="ctr"/>
            <a:r>
              <a:rPr lang="en-PH" sz="1200">
                <a:latin typeface="Times New Roman" panose="02020603050405020304" pitchFamily="18" charset="0"/>
                <a:cs typeface="Times New Roman" panose="02020603050405020304" pitchFamily="18" charset="0"/>
              </a:rPr>
              <a:t>BAC Member</a:t>
            </a:r>
          </a:p>
        </xdr:txBody>
      </xdr:sp>
      <xdr:sp macro="" textlink="">
        <xdr:nvSpPr>
          <xdr:cNvPr id="8" name="TextBox 7">
            <a:extLst>
              <a:ext uri="{FF2B5EF4-FFF2-40B4-BE49-F238E27FC236}">
                <a16:creationId xmlns:a16="http://schemas.microsoft.com/office/drawing/2014/main" id="{1969A687-E990-8B31-620F-092543D3E2F2}"/>
              </a:ext>
            </a:extLst>
          </xdr:cNvPr>
          <xdr:cNvSpPr txBox="1"/>
        </xdr:nvSpPr>
        <xdr:spPr>
          <a:xfrm>
            <a:off x="3512820" y="6970689"/>
            <a:ext cx="197358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GARY P. SALADORES</a:t>
            </a:r>
            <a:endParaRPr lang="en-PH" sz="1200" b="1" u="sng" baseline="0">
              <a:latin typeface="Times New Roman" panose="02020603050405020304" pitchFamily="18" charset="0"/>
              <a:cs typeface="Times New Roman" panose="02020603050405020304" pitchFamily="18" charset="0"/>
            </a:endParaRPr>
          </a:p>
          <a:p>
            <a:pPr algn="ctr"/>
            <a:r>
              <a:rPr lang="en-PH" sz="1200">
                <a:latin typeface="Times New Roman" panose="02020603050405020304" pitchFamily="18" charset="0"/>
                <a:cs typeface="Times New Roman" panose="02020603050405020304" pitchFamily="18" charset="0"/>
              </a:rPr>
              <a:t>BAC Member</a:t>
            </a:r>
          </a:p>
        </xdr:txBody>
      </xdr:sp>
      <xdr:sp macro="" textlink="">
        <xdr:nvSpPr>
          <xdr:cNvPr id="9" name="TextBox 8">
            <a:extLst>
              <a:ext uri="{FF2B5EF4-FFF2-40B4-BE49-F238E27FC236}">
                <a16:creationId xmlns:a16="http://schemas.microsoft.com/office/drawing/2014/main" id="{125142E9-3598-70D5-B28C-E868EB6EB907}"/>
              </a:ext>
            </a:extLst>
          </xdr:cNvPr>
          <xdr:cNvSpPr txBox="1"/>
        </xdr:nvSpPr>
        <xdr:spPr>
          <a:xfrm>
            <a:off x="152400" y="6970735"/>
            <a:ext cx="214884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baseline="0">
                <a:latin typeface="Times New Roman" panose="02020603050405020304" pitchFamily="18" charset="0"/>
                <a:cs typeface="Times New Roman" panose="02020603050405020304" pitchFamily="18" charset="0"/>
              </a:rPr>
              <a:t>GIOVANNI S. PAREDES</a:t>
            </a:r>
          </a:p>
          <a:p>
            <a:pPr algn="ctr"/>
            <a:r>
              <a:rPr lang="en-PH" sz="1200" b="0" u="none" baseline="0">
                <a:latin typeface="Times New Roman" panose="02020603050405020304" pitchFamily="18" charset="0"/>
                <a:cs typeface="Times New Roman" panose="02020603050405020304" pitchFamily="18" charset="0"/>
              </a:rPr>
              <a:t>Chairperson, BAC Secretariat</a:t>
            </a:r>
            <a:endParaRPr lang="en-PH" sz="1200" b="0" u="none">
              <a:latin typeface="Times New Roman" panose="02020603050405020304" pitchFamily="18" charset="0"/>
              <a:cs typeface="Times New Roman" panose="02020603050405020304" pitchFamily="18" charset="0"/>
            </a:endParaRPr>
          </a:p>
        </xdr:txBody>
      </xdr:sp>
      <xdr:sp macro="" textlink="">
        <xdr:nvSpPr>
          <xdr:cNvPr id="10" name="TextBox 9">
            <a:extLst>
              <a:ext uri="{FF2B5EF4-FFF2-40B4-BE49-F238E27FC236}">
                <a16:creationId xmlns:a16="http://schemas.microsoft.com/office/drawing/2014/main" id="{B23966BD-B056-97FA-9F9C-E6C53EEC6EDC}"/>
              </a:ext>
            </a:extLst>
          </xdr:cNvPr>
          <xdr:cNvSpPr txBox="1"/>
        </xdr:nvSpPr>
        <xdr:spPr>
          <a:xfrm>
            <a:off x="10142220" y="6970735"/>
            <a:ext cx="194310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baseline="0">
                <a:latin typeface="Times New Roman" panose="02020603050405020304" pitchFamily="18" charset="0"/>
                <a:cs typeface="Times New Roman" panose="02020603050405020304" pitchFamily="18" charset="0"/>
              </a:rPr>
              <a:t>RITCHEL M. BUTAO</a:t>
            </a:r>
          </a:p>
          <a:p>
            <a:pPr algn="ctr"/>
            <a:r>
              <a:rPr lang="en-PH" sz="1200" b="0" u="none" baseline="0">
                <a:latin typeface="Times New Roman" panose="02020603050405020304" pitchFamily="18" charset="0"/>
                <a:cs typeface="Times New Roman" panose="02020603050405020304" pitchFamily="18" charset="0"/>
              </a:rPr>
              <a:t>Regional Director</a:t>
            </a:r>
            <a:endParaRPr lang="en-PH" sz="1200" b="0" u="none">
              <a:latin typeface="Times New Roman" panose="02020603050405020304" pitchFamily="18" charset="0"/>
              <a:cs typeface="Times New Roman" panose="02020603050405020304" pitchFamily="18" charset="0"/>
            </a:endParaRPr>
          </a:p>
        </xdr:txBody>
      </xdr:sp>
      <xdr:sp macro="" textlink="">
        <xdr:nvSpPr>
          <xdr:cNvPr id="11" name="TextBox 10">
            <a:extLst>
              <a:ext uri="{FF2B5EF4-FFF2-40B4-BE49-F238E27FC236}">
                <a16:creationId xmlns:a16="http://schemas.microsoft.com/office/drawing/2014/main" id="{92C3FCAB-A096-8E21-B205-35F1CD8E53E8}"/>
              </a:ext>
            </a:extLst>
          </xdr:cNvPr>
          <xdr:cNvSpPr txBox="1"/>
        </xdr:nvSpPr>
        <xdr:spPr>
          <a:xfrm>
            <a:off x="114300" y="6687690"/>
            <a:ext cx="1066800" cy="306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0" u="none" baseline="0">
                <a:latin typeface="Times New Roman" panose="02020603050405020304" pitchFamily="18" charset="0"/>
                <a:cs typeface="Times New Roman" panose="02020603050405020304" pitchFamily="18" charset="0"/>
              </a:rPr>
              <a:t>Prepared By:</a:t>
            </a:r>
            <a:endParaRPr lang="en-PH" sz="1200" b="0" u="none">
              <a:latin typeface="Times New Roman" panose="02020603050405020304" pitchFamily="18" charset="0"/>
              <a:cs typeface="Times New Roman" panose="02020603050405020304" pitchFamily="18" charset="0"/>
            </a:endParaRPr>
          </a:p>
        </xdr:txBody>
      </xdr:sp>
      <xdr:sp macro="" textlink="">
        <xdr:nvSpPr>
          <xdr:cNvPr id="12" name="TextBox 11">
            <a:extLst>
              <a:ext uri="{FF2B5EF4-FFF2-40B4-BE49-F238E27FC236}">
                <a16:creationId xmlns:a16="http://schemas.microsoft.com/office/drawing/2014/main" id="{45322D78-F137-CE21-8D22-8359366912D1}"/>
              </a:ext>
            </a:extLst>
          </xdr:cNvPr>
          <xdr:cNvSpPr txBox="1"/>
        </xdr:nvSpPr>
        <xdr:spPr>
          <a:xfrm>
            <a:off x="9570720" y="6674061"/>
            <a:ext cx="1318260" cy="327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0" u="none" baseline="0">
                <a:latin typeface="Times New Roman" panose="02020603050405020304" pitchFamily="18" charset="0"/>
                <a:cs typeface="Times New Roman" panose="02020603050405020304" pitchFamily="18" charset="0"/>
              </a:rPr>
              <a:t>Approved By:</a:t>
            </a:r>
            <a:endParaRPr lang="en-PH" sz="1200" b="0" u="none">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DD440965-DA3B-EF8B-CDC7-2D6660D6A883}"/>
              </a:ext>
            </a:extLst>
          </xdr:cNvPr>
          <xdr:cNvSpPr txBox="1"/>
        </xdr:nvSpPr>
        <xdr:spPr>
          <a:xfrm>
            <a:off x="2667000" y="6682740"/>
            <a:ext cx="1569720" cy="306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0" u="none" baseline="0">
                <a:latin typeface="Times New Roman" panose="02020603050405020304" pitchFamily="18" charset="0"/>
                <a:cs typeface="Times New Roman" panose="02020603050405020304" pitchFamily="18" charset="0"/>
              </a:rPr>
              <a:t>Recommended By:</a:t>
            </a:r>
            <a:endParaRPr lang="en-PH" sz="1200" b="0" u="none">
              <a:latin typeface="Times New Roman" panose="02020603050405020304" pitchFamily="18" charset="0"/>
              <a:cs typeface="Times New Roman" panose="02020603050405020304" pitchFamily="18" charset="0"/>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388619</xdr:colOff>
      <xdr:row>0</xdr:row>
      <xdr:rowOff>0</xdr:rowOff>
    </xdr:from>
    <xdr:to>
      <xdr:col>10</xdr:col>
      <xdr:colOff>172720</xdr:colOff>
      <xdr:row>6</xdr:row>
      <xdr:rowOff>22860</xdr:rowOff>
    </xdr:to>
    <xdr:pic>
      <xdr:nvPicPr>
        <xdr:cNvPr id="2" name="Picture 1">
          <a:extLst>
            <a:ext uri="{FF2B5EF4-FFF2-40B4-BE49-F238E27FC236}">
              <a16:creationId xmlns:a16="http://schemas.microsoft.com/office/drawing/2014/main" id="{7CCEE012-E208-494D-BED1-BB364A9C74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5399" y="0"/>
          <a:ext cx="9667241" cy="1524000"/>
        </a:xfrm>
        <a:prstGeom prst="rect">
          <a:avLst/>
        </a:prstGeom>
      </xdr:spPr>
    </xdr:pic>
    <xdr:clientData/>
  </xdr:twoCellAnchor>
  <xdr:twoCellAnchor>
    <xdr:from>
      <xdr:col>5</xdr:col>
      <xdr:colOff>22860</xdr:colOff>
      <xdr:row>30</xdr:row>
      <xdr:rowOff>10014</xdr:rowOff>
    </xdr:from>
    <xdr:to>
      <xdr:col>7</xdr:col>
      <xdr:colOff>571500</xdr:colOff>
      <xdr:row>34</xdr:row>
      <xdr:rowOff>7620</xdr:rowOff>
    </xdr:to>
    <xdr:sp macro="" textlink="">
      <xdr:nvSpPr>
        <xdr:cNvPr id="3" name="TextBox 2">
          <a:extLst>
            <a:ext uri="{FF2B5EF4-FFF2-40B4-BE49-F238E27FC236}">
              <a16:creationId xmlns:a16="http://schemas.microsoft.com/office/drawing/2014/main" id="{FC96E772-0D67-42D8-8B81-1D0512386828}"/>
            </a:ext>
          </a:extLst>
        </xdr:cNvPr>
        <xdr:cNvSpPr txBox="1"/>
      </xdr:nvSpPr>
      <xdr:spPr>
        <a:xfrm>
          <a:off x="6286500" y="7683354"/>
          <a:ext cx="2415540" cy="729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REGIENALD S. ESPALDON</a:t>
          </a:r>
        </a:p>
        <a:p>
          <a:pPr algn="ctr"/>
          <a:r>
            <a:rPr lang="en-PH" sz="1200">
              <a:latin typeface="Times New Roman" panose="02020603050405020304" pitchFamily="18" charset="0"/>
              <a:cs typeface="Times New Roman" panose="02020603050405020304" pitchFamily="18" charset="0"/>
            </a:rPr>
            <a:t>BAC Chairperson</a:t>
          </a:r>
        </a:p>
      </xdr:txBody>
    </xdr:sp>
    <xdr:clientData/>
  </xdr:twoCellAnchor>
  <xdr:twoCellAnchor>
    <xdr:from>
      <xdr:col>0</xdr:col>
      <xdr:colOff>0</xdr:colOff>
      <xdr:row>25</xdr:row>
      <xdr:rowOff>181821</xdr:rowOff>
    </xdr:from>
    <xdr:to>
      <xdr:col>11</xdr:col>
      <xdr:colOff>2540</xdr:colOff>
      <xdr:row>34</xdr:row>
      <xdr:rowOff>61351</xdr:rowOff>
    </xdr:to>
    <xdr:grpSp>
      <xdr:nvGrpSpPr>
        <xdr:cNvPr id="4" name="Group 3">
          <a:extLst>
            <a:ext uri="{FF2B5EF4-FFF2-40B4-BE49-F238E27FC236}">
              <a16:creationId xmlns:a16="http://schemas.microsoft.com/office/drawing/2014/main" id="{1D4F8811-59A6-44A8-90BD-D3B94D29E77A}"/>
            </a:ext>
          </a:extLst>
        </xdr:cNvPr>
        <xdr:cNvGrpSpPr/>
      </xdr:nvGrpSpPr>
      <xdr:grpSpPr>
        <a:xfrm>
          <a:off x="0" y="6976321"/>
          <a:ext cx="11750040" cy="1873430"/>
          <a:chOff x="114300" y="6674061"/>
          <a:chExt cx="11971020" cy="1815010"/>
        </a:xfrm>
      </xdr:grpSpPr>
      <xdr:sp macro="" textlink="">
        <xdr:nvSpPr>
          <xdr:cNvPr id="5" name="TextBox 4">
            <a:extLst>
              <a:ext uri="{FF2B5EF4-FFF2-40B4-BE49-F238E27FC236}">
                <a16:creationId xmlns:a16="http://schemas.microsoft.com/office/drawing/2014/main" id="{C4892B6A-9F73-8A4C-D282-259A63491EE7}"/>
              </a:ext>
            </a:extLst>
          </xdr:cNvPr>
          <xdr:cNvSpPr txBox="1"/>
        </xdr:nvSpPr>
        <xdr:spPr>
          <a:xfrm>
            <a:off x="4183380" y="7719060"/>
            <a:ext cx="201930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EVAL</a:t>
            </a:r>
            <a:r>
              <a:rPr lang="en-PH" sz="1200" b="1" u="sng" baseline="0">
                <a:latin typeface="Times New Roman" panose="02020603050405020304" pitchFamily="18" charset="0"/>
                <a:cs typeface="Times New Roman" panose="02020603050405020304" pitchFamily="18" charset="0"/>
              </a:rPr>
              <a:t> B. MAKINANO</a:t>
            </a:r>
          </a:p>
          <a:p>
            <a:pPr algn="ctr"/>
            <a:r>
              <a:rPr lang="en-PH" sz="1200">
                <a:latin typeface="Times New Roman" panose="02020603050405020304" pitchFamily="18" charset="0"/>
                <a:cs typeface="Times New Roman" panose="02020603050405020304" pitchFamily="18" charset="0"/>
              </a:rPr>
              <a:t>BAC</a:t>
            </a:r>
            <a:r>
              <a:rPr lang="en-PH" sz="1200" baseline="0">
                <a:latin typeface="Times New Roman" panose="02020603050405020304" pitchFamily="18" charset="0"/>
                <a:cs typeface="Times New Roman" panose="02020603050405020304" pitchFamily="18" charset="0"/>
              </a:rPr>
              <a:t> Vice-Chairperson</a:t>
            </a:r>
            <a:endParaRPr lang="en-PH" sz="1200">
              <a:latin typeface="Times New Roman" panose="02020603050405020304" pitchFamily="18" charset="0"/>
              <a:cs typeface="Times New Roman" panose="02020603050405020304" pitchFamily="18" charset="0"/>
            </a:endParaRPr>
          </a:p>
        </xdr:txBody>
      </xdr:sp>
      <xdr:sp macro="" textlink="">
        <xdr:nvSpPr>
          <xdr:cNvPr id="6" name="TextBox 5">
            <a:extLst>
              <a:ext uri="{FF2B5EF4-FFF2-40B4-BE49-F238E27FC236}">
                <a16:creationId xmlns:a16="http://schemas.microsoft.com/office/drawing/2014/main" id="{722D0696-A3A2-8352-61FD-33986DFD7B5F}"/>
              </a:ext>
            </a:extLst>
          </xdr:cNvPr>
          <xdr:cNvSpPr txBox="1"/>
        </xdr:nvSpPr>
        <xdr:spPr>
          <a:xfrm>
            <a:off x="7421880" y="6964680"/>
            <a:ext cx="186690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REYNON E. ARLAN</a:t>
            </a:r>
            <a:endParaRPr lang="en-PH" sz="1200" b="1" u="sng" baseline="0">
              <a:latin typeface="Times New Roman" panose="02020603050405020304" pitchFamily="18" charset="0"/>
              <a:cs typeface="Times New Roman" panose="02020603050405020304" pitchFamily="18" charset="0"/>
            </a:endParaRPr>
          </a:p>
          <a:p>
            <a:pPr algn="ctr"/>
            <a:r>
              <a:rPr lang="en-PH" sz="1200">
                <a:latin typeface="Times New Roman" panose="02020603050405020304" pitchFamily="18" charset="0"/>
                <a:cs typeface="Times New Roman" panose="02020603050405020304" pitchFamily="18" charset="0"/>
              </a:rPr>
              <a:t>BAC Member</a:t>
            </a:r>
          </a:p>
        </xdr:txBody>
      </xdr:sp>
      <xdr:sp macro="" textlink="">
        <xdr:nvSpPr>
          <xdr:cNvPr id="7" name="TextBox 6">
            <a:extLst>
              <a:ext uri="{FF2B5EF4-FFF2-40B4-BE49-F238E27FC236}">
                <a16:creationId xmlns:a16="http://schemas.microsoft.com/office/drawing/2014/main" id="{3E7FB946-8D23-9ABA-D124-4FCE546D47F5}"/>
              </a:ext>
            </a:extLst>
          </xdr:cNvPr>
          <xdr:cNvSpPr txBox="1"/>
        </xdr:nvSpPr>
        <xdr:spPr>
          <a:xfrm>
            <a:off x="5486400" y="6964680"/>
            <a:ext cx="196596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MARISSA A. GARAY</a:t>
            </a:r>
            <a:endParaRPr lang="en-PH" sz="1200" b="1" u="sng" baseline="0">
              <a:latin typeface="Times New Roman" panose="02020603050405020304" pitchFamily="18" charset="0"/>
              <a:cs typeface="Times New Roman" panose="02020603050405020304" pitchFamily="18" charset="0"/>
            </a:endParaRPr>
          </a:p>
          <a:p>
            <a:pPr algn="ctr"/>
            <a:r>
              <a:rPr lang="en-PH" sz="1200">
                <a:latin typeface="Times New Roman" panose="02020603050405020304" pitchFamily="18" charset="0"/>
                <a:cs typeface="Times New Roman" panose="02020603050405020304" pitchFamily="18" charset="0"/>
              </a:rPr>
              <a:t>BAC Member</a:t>
            </a:r>
          </a:p>
        </xdr:txBody>
      </xdr:sp>
      <xdr:sp macro="" textlink="">
        <xdr:nvSpPr>
          <xdr:cNvPr id="8" name="TextBox 7">
            <a:extLst>
              <a:ext uri="{FF2B5EF4-FFF2-40B4-BE49-F238E27FC236}">
                <a16:creationId xmlns:a16="http://schemas.microsoft.com/office/drawing/2014/main" id="{B6939FCB-DF80-54CB-3436-8360526EE6F5}"/>
              </a:ext>
            </a:extLst>
          </xdr:cNvPr>
          <xdr:cNvSpPr txBox="1"/>
        </xdr:nvSpPr>
        <xdr:spPr>
          <a:xfrm>
            <a:off x="3512820" y="6970689"/>
            <a:ext cx="197358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GARY P. SALADORES</a:t>
            </a:r>
            <a:endParaRPr lang="en-PH" sz="1200" b="1" u="sng" baseline="0">
              <a:latin typeface="Times New Roman" panose="02020603050405020304" pitchFamily="18" charset="0"/>
              <a:cs typeface="Times New Roman" panose="02020603050405020304" pitchFamily="18" charset="0"/>
            </a:endParaRPr>
          </a:p>
          <a:p>
            <a:pPr algn="ctr"/>
            <a:r>
              <a:rPr lang="en-PH" sz="1200">
                <a:latin typeface="Times New Roman" panose="02020603050405020304" pitchFamily="18" charset="0"/>
                <a:cs typeface="Times New Roman" panose="02020603050405020304" pitchFamily="18" charset="0"/>
              </a:rPr>
              <a:t>BAC Member</a:t>
            </a:r>
          </a:p>
        </xdr:txBody>
      </xdr:sp>
      <xdr:sp macro="" textlink="">
        <xdr:nvSpPr>
          <xdr:cNvPr id="9" name="TextBox 8">
            <a:extLst>
              <a:ext uri="{FF2B5EF4-FFF2-40B4-BE49-F238E27FC236}">
                <a16:creationId xmlns:a16="http://schemas.microsoft.com/office/drawing/2014/main" id="{45AA72E5-B330-5534-AA15-F4E4EA19F790}"/>
              </a:ext>
            </a:extLst>
          </xdr:cNvPr>
          <xdr:cNvSpPr txBox="1"/>
        </xdr:nvSpPr>
        <xdr:spPr>
          <a:xfrm>
            <a:off x="152400" y="6970735"/>
            <a:ext cx="214884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baseline="0">
                <a:latin typeface="Times New Roman" panose="02020603050405020304" pitchFamily="18" charset="0"/>
                <a:cs typeface="Times New Roman" panose="02020603050405020304" pitchFamily="18" charset="0"/>
              </a:rPr>
              <a:t>GIOVANNI S. PAREDES</a:t>
            </a:r>
          </a:p>
          <a:p>
            <a:pPr algn="ctr"/>
            <a:r>
              <a:rPr lang="en-PH" sz="1200" b="0" u="none" baseline="0">
                <a:latin typeface="Times New Roman" panose="02020603050405020304" pitchFamily="18" charset="0"/>
                <a:cs typeface="Times New Roman" panose="02020603050405020304" pitchFamily="18" charset="0"/>
              </a:rPr>
              <a:t>Chairperson, BAC Secretariat</a:t>
            </a:r>
            <a:endParaRPr lang="en-PH" sz="1200" b="0" u="none">
              <a:latin typeface="Times New Roman" panose="02020603050405020304" pitchFamily="18" charset="0"/>
              <a:cs typeface="Times New Roman" panose="02020603050405020304" pitchFamily="18" charset="0"/>
            </a:endParaRPr>
          </a:p>
        </xdr:txBody>
      </xdr:sp>
      <xdr:sp macro="" textlink="">
        <xdr:nvSpPr>
          <xdr:cNvPr id="10" name="TextBox 9">
            <a:extLst>
              <a:ext uri="{FF2B5EF4-FFF2-40B4-BE49-F238E27FC236}">
                <a16:creationId xmlns:a16="http://schemas.microsoft.com/office/drawing/2014/main" id="{855276ED-528E-0FCF-5E35-11E2EC535E87}"/>
              </a:ext>
            </a:extLst>
          </xdr:cNvPr>
          <xdr:cNvSpPr txBox="1"/>
        </xdr:nvSpPr>
        <xdr:spPr>
          <a:xfrm>
            <a:off x="10142220" y="6970735"/>
            <a:ext cx="194310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baseline="0">
                <a:latin typeface="Times New Roman" panose="02020603050405020304" pitchFamily="18" charset="0"/>
                <a:cs typeface="Times New Roman" panose="02020603050405020304" pitchFamily="18" charset="0"/>
              </a:rPr>
              <a:t>RITCHEL M. BUTAO</a:t>
            </a:r>
          </a:p>
          <a:p>
            <a:pPr algn="ctr"/>
            <a:r>
              <a:rPr lang="en-PH" sz="1200" b="0" u="none" baseline="0">
                <a:latin typeface="Times New Roman" panose="02020603050405020304" pitchFamily="18" charset="0"/>
                <a:cs typeface="Times New Roman" panose="02020603050405020304" pitchFamily="18" charset="0"/>
              </a:rPr>
              <a:t>Regional Director</a:t>
            </a:r>
            <a:endParaRPr lang="en-PH" sz="1200" b="0" u="none">
              <a:latin typeface="Times New Roman" panose="02020603050405020304" pitchFamily="18" charset="0"/>
              <a:cs typeface="Times New Roman" panose="02020603050405020304" pitchFamily="18" charset="0"/>
            </a:endParaRPr>
          </a:p>
        </xdr:txBody>
      </xdr:sp>
      <xdr:sp macro="" textlink="">
        <xdr:nvSpPr>
          <xdr:cNvPr id="11" name="TextBox 10">
            <a:extLst>
              <a:ext uri="{FF2B5EF4-FFF2-40B4-BE49-F238E27FC236}">
                <a16:creationId xmlns:a16="http://schemas.microsoft.com/office/drawing/2014/main" id="{3339F56B-3D3C-9179-418B-8A7AD06EFE0A}"/>
              </a:ext>
            </a:extLst>
          </xdr:cNvPr>
          <xdr:cNvSpPr txBox="1"/>
        </xdr:nvSpPr>
        <xdr:spPr>
          <a:xfrm>
            <a:off x="114300" y="6687690"/>
            <a:ext cx="1066800" cy="306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0" u="none" baseline="0">
                <a:latin typeface="Times New Roman" panose="02020603050405020304" pitchFamily="18" charset="0"/>
                <a:cs typeface="Times New Roman" panose="02020603050405020304" pitchFamily="18" charset="0"/>
              </a:rPr>
              <a:t>Prepared By:</a:t>
            </a:r>
            <a:endParaRPr lang="en-PH" sz="1200" b="0" u="none">
              <a:latin typeface="Times New Roman" panose="02020603050405020304" pitchFamily="18" charset="0"/>
              <a:cs typeface="Times New Roman" panose="02020603050405020304" pitchFamily="18" charset="0"/>
            </a:endParaRPr>
          </a:p>
        </xdr:txBody>
      </xdr:sp>
      <xdr:sp macro="" textlink="">
        <xdr:nvSpPr>
          <xdr:cNvPr id="12" name="TextBox 11">
            <a:extLst>
              <a:ext uri="{FF2B5EF4-FFF2-40B4-BE49-F238E27FC236}">
                <a16:creationId xmlns:a16="http://schemas.microsoft.com/office/drawing/2014/main" id="{98869B29-AE96-8337-03A1-103E6144DADE}"/>
              </a:ext>
            </a:extLst>
          </xdr:cNvPr>
          <xdr:cNvSpPr txBox="1"/>
        </xdr:nvSpPr>
        <xdr:spPr>
          <a:xfrm>
            <a:off x="9570720" y="6674061"/>
            <a:ext cx="1318260" cy="327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0" u="none" baseline="0">
                <a:latin typeface="Times New Roman" panose="02020603050405020304" pitchFamily="18" charset="0"/>
                <a:cs typeface="Times New Roman" panose="02020603050405020304" pitchFamily="18" charset="0"/>
              </a:rPr>
              <a:t>Approved By:</a:t>
            </a:r>
            <a:endParaRPr lang="en-PH" sz="1200" b="0" u="none">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081786F0-E9A7-62E1-F191-45A2303177EC}"/>
              </a:ext>
            </a:extLst>
          </xdr:cNvPr>
          <xdr:cNvSpPr txBox="1"/>
        </xdr:nvSpPr>
        <xdr:spPr>
          <a:xfrm>
            <a:off x="2667000" y="6682740"/>
            <a:ext cx="1569720" cy="306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0" u="none" baseline="0">
                <a:latin typeface="Times New Roman" panose="02020603050405020304" pitchFamily="18" charset="0"/>
                <a:cs typeface="Times New Roman" panose="02020603050405020304" pitchFamily="18" charset="0"/>
              </a:rPr>
              <a:t>Recommended By:</a:t>
            </a:r>
            <a:endParaRPr lang="en-PH" sz="1200" b="0" u="none">
              <a:latin typeface="Times New Roman" panose="02020603050405020304" pitchFamily="18" charset="0"/>
              <a:cs typeface="Times New Roman" panose="02020603050405020304" pitchFamily="18" charset="0"/>
            </a:endParaRPr>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358139</xdr:colOff>
      <xdr:row>0</xdr:row>
      <xdr:rowOff>0</xdr:rowOff>
    </xdr:from>
    <xdr:to>
      <xdr:col>10</xdr:col>
      <xdr:colOff>264160</xdr:colOff>
      <xdr:row>6</xdr:row>
      <xdr:rowOff>45720</xdr:rowOff>
    </xdr:to>
    <xdr:pic>
      <xdr:nvPicPr>
        <xdr:cNvPr id="2" name="Picture 1">
          <a:extLst>
            <a:ext uri="{FF2B5EF4-FFF2-40B4-BE49-F238E27FC236}">
              <a16:creationId xmlns:a16="http://schemas.microsoft.com/office/drawing/2014/main" id="{38EDE124-322C-4C59-9830-EAE7AA59E4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64919" y="0"/>
          <a:ext cx="9789161" cy="1546860"/>
        </a:xfrm>
        <a:prstGeom prst="rect">
          <a:avLst/>
        </a:prstGeom>
      </xdr:spPr>
    </xdr:pic>
    <xdr:clientData/>
  </xdr:twoCellAnchor>
  <xdr:twoCellAnchor>
    <xdr:from>
      <xdr:col>5</xdr:col>
      <xdr:colOff>22860</xdr:colOff>
      <xdr:row>30</xdr:row>
      <xdr:rowOff>10014</xdr:rowOff>
    </xdr:from>
    <xdr:to>
      <xdr:col>7</xdr:col>
      <xdr:colOff>571500</xdr:colOff>
      <xdr:row>34</xdr:row>
      <xdr:rowOff>7620</xdr:rowOff>
    </xdr:to>
    <xdr:sp macro="" textlink="">
      <xdr:nvSpPr>
        <xdr:cNvPr id="3" name="TextBox 2">
          <a:extLst>
            <a:ext uri="{FF2B5EF4-FFF2-40B4-BE49-F238E27FC236}">
              <a16:creationId xmlns:a16="http://schemas.microsoft.com/office/drawing/2014/main" id="{AB4FFB64-46EB-4876-AC63-EFF459433371}"/>
            </a:ext>
          </a:extLst>
        </xdr:cNvPr>
        <xdr:cNvSpPr txBox="1"/>
      </xdr:nvSpPr>
      <xdr:spPr>
        <a:xfrm>
          <a:off x="6286500" y="8079594"/>
          <a:ext cx="2415540" cy="729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REGIENALD S. ESPALDON</a:t>
          </a:r>
        </a:p>
        <a:p>
          <a:pPr algn="ctr"/>
          <a:r>
            <a:rPr lang="en-PH" sz="1200">
              <a:latin typeface="Times New Roman" panose="02020603050405020304" pitchFamily="18" charset="0"/>
              <a:cs typeface="Times New Roman" panose="02020603050405020304" pitchFamily="18" charset="0"/>
            </a:rPr>
            <a:t>BAC Chairperson</a:t>
          </a:r>
        </a:p>
      </xdr:txBody>
    </xdr:sp>
    <xdr:clientData/>
  </xdr:twoCellAnchor>
  <xdr:twoCellAnchor>
    <xdr:from>
      <xdr:col>0</xdr:col>
      <xdr:colOff>0</xdr:colOff>
      <xdr:row>25</xdr:row>
      <xdr:rowOff>181821</xdr:rowOff>
    </xdr:from>
    <xdr:to>
      <xdr:col>11</xdr:col>
      <xdr:colOff>2540</xdr:colOff>
      <xdr:row>34</xdr:row>
      <xdr:rowOff>61351</xdr:rowOff>
    </xdr:to>
    <xdr:grpSp>
      <xdr:nvGrpSpPr>
        <xdr:cNvPr id="4" name="Group 3">
          <a:extLst>
            <a:ext uri="{FF2B5EF4-FFF2-40B4-BE49-F238E27FC236}">
              <a16:creationId xmlns:a16="http://schemas.microsoft.com/office/drawing/2014/main" id="{8846AE31-AEB5-4387-980C-0A3645769BD5}"/>
            </a:ext>
          </a:extLst>
        </xdr:cNvPr>
        <xdr:cNvGrpSpPr/>
      </xdr:nvGrpSpPr>
      <xdr:grpSpPr>
        <a:xfrm>
          <a:off x="0" y="6989021"/>
          <a:ext cx="11750040" cy="1873430"/>
          <a:chOff x="114300" y="6674061"/>
          <a:chExt cx="11971020" cy="1815010"/>
        </a:xfrm>
      </xdr:grpSpPr>
      <xdr:sp macro="" textlink="">
        <xdr:nvSpPr>
          <xdr:cNvPr id="5" name="TextBox 4">
            <a:extLst>
              <a:ext uri="{FF2B5EF4-FFF2-40B4-BE49-F238E27FC236}">
                <a16:creationId xmlns:a16="http://schemas.microsoft.com/office/drawing/2014/main" id="{259923E4-36AF-8B2E-76D5-6350ABC7EA11}"/>
              </a:ext>
            </a:extLst>
          </xdr:cNvPr>
          <xdr:cNvSpPr txBox="1"/>
        </xdr:nvSpPr>
        <xdr:spPr>
          <a:xfrm>
            <a:off x="4183380" y="7719060"/>
            <a:ext cx="201930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EVAL</a:t>
            </a:r>
            <a:r>
              <a:rPr lang="en-PH" sz="1200" b="1" u="sng" baseline="0">
                <a:latin typeface="Times New Roman" panose="02020603050405020304" pitchFamily="18" charset="0"/>
                <a:cs typeface="Times New Roman" panose="02020603050405020304" pitchFamily="18" charset="0"/>
              </a:rPr>
              <a:t> B. MAKINANO</a:t>
            </a:r>
          </a:p>
          <a:p>
            <a:pPr algn="ctr"/>
            <a:r>
              <a:rPr lang="en-PH" sz="1200">
                <a:latin typeface="Times New Roman" panose="02020603050405020304" pitchFamily="18" charset="0"/>
                <a:cs typeface="Times New Roman" panose="02020603050405020304" pitchFamily="18" charset="0"/>
              </a:rPr>
              <a:t>BAC</a:t>
            </a:r>
            <a:r>
              <a:rPr lang="en-PH" sz="1200" baseline="0">
                <a:latin typeface="Times New Roman" panose="02020603050405020304" pitchFamily="18" charset="0"/>
                <a:cs typeface="Times New Roman" panose="02020603050405020304" pitchFamily="18" charset="0"/>
              </a:rPr>
              <a:t> Vice-Chairperson</a:t>
            </a:r>
            <a:endParaRPr lang="en-PH" sz="1200">
              <a:latin typeface="Times New Roman" panose="02020603050405020304" pitchFamily="18" charset="0"/>
              <a:cs typeface="Times New Roman" panose="02020603050405020304" pitchFamily="18" charset="0"/>
            </a:endParaRPr>
          </a:p>
        </xdr:txBody>
      </xdr:sp>
      <xdr:sp macro="" textlink="">
        <xdr:nvSpPr>
          <xdr:cNvPr id="6" name="TextBox 5">
            <a:extLst>
              <a:ext uri="{FF2B5EF4-FFF2-40B4-BE49-F238E27FC236}">
                <a16:creationId xmlns:a16="http://schemas.microsoft.com/office/drawing/2014/main" id="{F2B970B3-3826-18D5-67B4-1F693AB8B608}"/>
              </a:ext>
            </a:extLst>
          </xdr:cNvPr>
          <xdr:cNvSpPr txBox="1"/>
        </xdr:nvSpPr>
        <xdr:spPr>
          <a:xfrm>
            <a:off x="7421880" y="6964680"/>
            <a:ext cx="186690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REYNON E. ARLAN</a:t>
            </a:r>
            <a:endParaRPr lang="en-PH" sz="1200" b="1" u="sng" baseline="0">
              <a:latin typeface="Times New Roman" panose="02020603050405020304" pitchFamily="18" charset="0"/>
              <a:cs typeface="Times New Roman" panose="02020603050405020304" pitchFamily="18" charset="0"/>
            </a:endParaRPr>
          </a:p>
          <a:p>
            <a:pPr algn="ctr"/>
            <a:r>
              <a:rPr lang="en-PH" sz="1200">
                <a:latin typeface="Times New Roman" panose="02020603050405020304" pitchFamily="18" charset="0"/>
                <a:cs typeface="Times New Roman" panose="02020603050405020304" pitchFamily="18" charset="0"/>
              </a:rPr>
              <a:t>BAC Member</a:t>
            </a:r>
          </a:p>
        </xdr:txBody>
      </xdr:sp>
      <xdr:sp macro="" textlink="">
        <xdr:nvSpPr>
          <xdr:cNvPr id="7" name="TextBox 6">
            <a:extLst>
              <a:ext uri="{FF2B5EF4-FFF2-40B4-BE49-F238E27FC236}">
                <a16:creationId xmlns:a16="http://schemas.microsoft.com/office/drawing/2014/main" id="{07CFC33D-5F5C-2052-C67D-95FCF861979D}"/>
              </a:ext>
            </a:extLst>
          </xdr:cNvPr>
          <xdr:cNvSpPr txBox="1"/>
        </xdr:nvSpPr>
        <xdr:spPr>
          <a:xfrm>
            <a:off x="5486400" y="6964680"/>
            <a:ext cx="196596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MARISSA A. GARAY</a:t>
            </a:r>
            <a:endParaRPr lang="en-PH" sz="1200" b="1" u="sng" baseline="0">
              <a:latin typeface="Times New Roman" panose="02020603050405020304" pitchFamily="18" charset="0"/>
              <a:cs typeface="Times New Roman" panose="02020603050405020304" pitchFamily="18" charset="0"/>
            </a:endParaRPr>
          </a:p>
          <a:p>
            <a:pPr algn="ctr"/>
            <a:r>
              <a:rPr lang="en-PH" sz="1200">
                <a:latin typeface="Times New Roman" panose="02020603050405020304" pitchFamily="18" charset="0"/>
                <a:cs typeface="Times New Roman" panose="02020603050405020304" pitchFamily="18" charset="0"/>
              </a:rPr>
              <a:t>BAC Member</a:t>
            </a:r>
          </a:p>
        </xdr:txBody>
      </xdr:sp>
      <xdr:sp macro="" textlink="">
        <xdr:nvSpPr>
          <xdr:cNvPr id="8" name="TextBox 7">
            <a:extLst>
              <a:ext uri="{FF2B5EF4-FFF2-40B4-BE49-F238E27FC236}">
                <a16:creationId xmlns:a16="http://schemas.microsoft.com/office/drawing/2014/main" id="{CC0B54DD-B9BA-5936-57AC-08CAB700D70F}"/>
              </a:ext>
            </a:extLst>
          </xdr:cNvPr>
          <xdr:cNvSpPr txBox="1"/>
        </xdr:nvSpPr>
        <xdr:spPr>
          <a:xfrm>
            <a:off x="3512820" y="6970689"/>
            <a:ext cx="197358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a:latin typeface="Times New Roman" panose="02020603050405020304" pitchFamily="18" charset="0"/>
                <a:cs typeface="Times New Roman" panose="02020603050405020304" pitchFamily="18" charset="0"/>
              </a:rPr>
              <a:t>GARY P. SALADORES</a:t>
            </a:r>
            <a:endParaRPr lang="en-PH" sz="1200" b="1" u="sng" baseline="0">
              <a:latin typeface="Times New Roman" panose="02020603050405020304" pitchFamily="18" charset="0"/>
              <a:cs typeface="Times New Roman" panose="02020603050405020304" pitchFamily="18" charset="0"/>
            </a:endParaRPr>
          </a:p>
          <a:p>
            <a:pPr algn="ctr"/>
            <a:r>
              <a:rPr lang="en-PH" sz="1200">
                <a:latin typeface="Times New Roman" panose="02020603050405020304" pitchFamily="18" charset="0"/>
                <a:cs typeface="Times New Roman" panose="02020603050405020304" pitchFamily="18" charset="0"/>
              </a:rPr>
              <a:t>BAC Member</a:t>
            </a:r>
          </a:p>
        </xdr:txBody>
      </xdr:sp>
      <xdr:sp macro="" textlink="">
        <xdr:nvSpPr>
          <xdr:cNvPr id="9" name="TextBox 8">
            <a:extLst>
              <a:ext uri="{FF2B5EF4-FFF2-40B4-BE49-F238E27FC236}">
                <a16:creationId xmlns:a16="http://schemas.microsoft.com/office/drawing/2014/main" id="{42C8B67E-2486-B6A4-ECEF-D9F2A0D4E160}"/>
              </a:ext>
            </a:extLst>
          </xdr:cNvPr>
          <xdr:cNvSpPr txBox="1"/>
        </xdr:nvSpPr>
        <xdr:spPr>
          <a:xfrm>
            <a:off x="152400" y="6970735"/>
            <a:ext cx="214884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baseline="0">
                <a:latin typeface="Times New Roman" panose="02020603050405020304" pitchFamily="18" charset="0"/>
                <a:cs typeface="Times New Roman" panose="02020603050405020304" pitchFamily="18" charset="0"/>
              </a:rPr>
              <a:t>GIOVANNI S. PAREDES</a:t>
            </a:r>
          </a:p>
          <a:p>
            <a:pPr algn="ctr"/>
            <a:r>
              <a:rPr lang="en-PH" sz="1200" b="0" u="none" baseline="0">
                <a:latin typeface="Times New Roman" panose="02020603050405020304" pitchFamily="18" charset="0"/>
                <a:cs typeface="Times New Roman" panose="02020603050405020304" pitchFamily="18" charset="0"/>
              </a:rPr>
              <a:t>Chairperson, BAC Secretariat</a:t>
            </a:r>
            <a:endParaRPr lang="en-PH" sz="1200" b="0" u="none">
              <a:latin typeface="Times New Roman" panose="02020603050405020304" pitchFamily="18" charset="0"/>
              <a:cs typeface="Times New Roman" panose="02020603050405020304" pitchFamily="18" charset="0"/>
            </a:endParaRPr>
          </a:p>
        </xdr:txBody>
      </xdr:sp>
      <xdr:sp macro="" textlink="">
        <xdr:nvSpPr>
          <xdr:cNvPr id="10" name="TextBox 9">
            <a:extLst>
              <a:ext uri="{FF2B5EF4-FFF2-40B4-BE49-F238E27FC236}">
                <a16:creationId xmlns:a16="http://schemas.microsoft.com/office/drawing/2014/main" id="{59F83DFF-7B7C-5661-F3DF-4AF562E1487F}"/>
              </a:ext>
            </a:extLst>
          </xdr:cNvPr>
          <xdr:cNvSpPr txBox="1"/>
        </xdr:nvSpPr>
        <xdr:spPr>
          <a:xfrm>
            <a:off x="10142220" y="6970735"/>
            <a:ext cx="1943100" cy="7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u="sng" baseline="0">
                <a:latin typeface="Times New Roman" panose="02020603050405020304" pitchFamily="18" charset="0"/>
                <a:cs typeface="Times New Roman" panose="02020603050405020304" pitchFamily="18" charset="0"/>
              </a:rPr>
              <a:t>RITCHEL M. BUTAO</a:t>
            </a:r>
          </a:p>
          <a:p>
            <a:pPr algn="ctr"/>
            <a:r>
              <a:rPr lang="en-PH" sz="1200" b="0" u="none" baseline="0">
                <a:latin typeface="Times New Roman" panose="02020603050405020304" pitchFamily="18" charset="0"/>
                <a:cs typeface="Times New Roman" panose="02020603050405020304" pitchFamily="18" charset="0"/>
              </a:rPr>
              <a:t>Regional Director</a:t>
            </a:r>
            <a:endParaRPr lang="en-PH" sz="1200" b="0" u="none">
              <a:latin typeface="Times New Roman" panose="02020603050405020304" pitchFamily="18" charset="0"/>
              <a:cs typeface="Times New Roman" panose="02020603050405020304" pitchFamily="18" charset="0"/>
            </a:endParaRPr>
          </a:p>
        </xdr:txBody>
      </xdr:sp>
      <xdr:sp macro="" textlink="">
        <xdr:nvSpPr>
          <xdr:cNvPr id="11" name="TextBox 10">
            <a:extLst>
              <a:ext uri="{FF2B5EF4-FFF2-40B4-BE49-F238E27FC236}">
                <a16:creationId xmlns:a16="http://schemas.microsoft.com/office/drawing/2014/main" id="{0ACB2AC3-928C-5C45-86A1-77E247C19E58}"/>
              </a:ext>
            </a:extLst>
          </xdr:cNvPr>
          <xdr:cNvSpPr txBox="1"/>
        </xdr:nvSpPr>
        <xdr:spPr>
          <a:xfrm>
            <a:off x="114300" y="6687690"/>
            <a:ext cx="1066800" cy="306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0" u="none" baseline="0">
                <a:latin typeface="Times New Roman" panose="02020603050405020304" pitchFamily="18" charset="0"/>
                <a:cs typeface="Times New Roman" panose="02020603050405020304" pitchFamily="18" charset="0"/>
              </a:rPr>
              <a:t>Prepared By:</a:t>
            </a:r>
            <a:endParaRPr lang="en-PH" sz="1200" b="0" u="none">
              <a:latin typeface="Times New Roman" panose="02020603050405020304" pitchFamily="18" charset="0"/>
              <a:cs typeface="Times New Roman" panose="02020603050405020304" pitchFamily="18" charset="0"/>
            </a:endParaRPr>
          </a:p>
        </xdr:txBody>
      </xdr:sp>
      <xdr:sp macro="" textlink="">
        <xdr:nvSpPr>
          <xdr:cNvPr id="12" name="TextBox 11">
            <a:extLst>
              <a:ext uri="{FF2B5EF4-FFF2-40B4-BE49-F238E27FC236}">
                <a16:creationId xmlns:a16="http://schemas.microsoft.com/office/drawing/2014/main" id="{946DC166-61E6-0081-1114-37C627000CFF}"/>
              </a:ext>
            </a:extLst>
          </xdr:cNvPr>
          <xdr:cNvSpPr txBox="1"/>
        </xdr:nvSpPr>
        <xdr:spPr>
          <a:xfrm>
            <a:off x="9570720" y="6674061"/>
            <a:ext cx="1318260" cy="327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0" u="none" baseline="0">
                <a:latin typeface="Times New Roman" panose="02020603050405020304" pitchFamily="18" charset="0"/>
                <a:cs typeface="Times New Roman" panose="02020603050405020304" pitchFamily="18" charset="0"/>
              </a:rPr>
              <a:t>Approved By:</a:t>
            </a:r>
            <a:endParaRPr lang="en-PH" sz="1200" b="0" u="none">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1AE4041B-68C4-C385-14F5-C1C2B22A010E}"/>
              </a:ext>
            </a:extLst>
          </xdr:cNvPr>
          <xdr:cNvSpPr txBox="1"/>
        </xdr:nvSpPr>
        <xdr:spPr>
          <a:xfrm>
            <a:off x="2667000" y="6682740"/>
            <a:ext cx="1569720" cy="306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0" u="none" baseline="0">
                <a:latin typeface="Times New Roman" panose="02020603050405020304" pitchFamily="18" charset="0"/>
                <a:cs typeface="Times New Roman" panose="02020603050405020304" pitchFamily="18" charset="0"/>
              </a:rPr>
              <a:t>Recommended By:</a:t>
            </a:r>
            <a:endParaRPr lang="en-PH" sz="1200" b="0" u="none">
              <a:latin typeface="Times New Roman" panose="02020603050405020304" pitchFamily="18" charset="0"/>
              <a:cs typeface="Times New Roman" panose="02020603050405020304" pitchFamily="18" charset="0"/>
            </a:endParaRP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30"/>
  <sheetViews>
    <sheetView view="pageBreakPreview" topLeftCell="A3" zoomScale="60" zoomScaleNormal="100" workbookViewId="0">
      <selection activeCell="O30" sqref="A1:XFD1048576"/>
    </sheetView>
  </sheetViews>
  <sheetFormatPr defaultColWidth="9" defaultRowHeight="14.4" x14ac:dyDescent="0.3"/>
  <cols>
    <col min="1" max="1" width="3.109375" customWidth="1"/>
    <col min="2" max="2" width="10.109375" customWidth="1"/>
    <col min="4" max="4" width="54.21875" customWidth="1"/>
    <col min="5" max="5" width="14.88671875" bestFit="1" customWidth="1"/>
    <col min="6" max="6" width="12.88671875" customWidth="1"/>
    <col min="7" max="7" width="14.33203125" bestFit="1" customWidth="1"/>
    <col min="8" max="8" width="12.77734375" customWidth="1"/>
    <col min="9" max="9" width="12.33203125" customWidth="1"/>
    <col min="10" max="10" width="13.6640625" customWidth="1"/>
    <col min="11" max="11" width="13.77734375" customWidth="1"/>
  </cols>
  <sheetData>
    <row r="2" spans="2:11" ht="21" x14ac:dyDescent="0.3">
      <c r="B2" s="51"/>
      <c r="C2" s="51"/>
      <c r="D2" s="51"/>
      <c r="E2" s="51"/>
      <c r="F2" s="51"/>
      <c r="G2" s="51"/>
      <c r="H2" s="51"/>
      <c r="I2" s="51"/>
      <c r="J2" s="51"/>
      <c r="K2" s="51"/>
    </row>
    <row r="3" spans="2:11" ht="20.399999999999999" x14ac:dyDescent="0.3">
      <c r="B3" s="52"/>
      <c r="C3" s="52"/>
      <c r="D3" s="52"/>
      <c r="E3" s="52"/>
      <c r="F3" s="52"/>
      <c r="G3" s="52"/>
      <c r="H3" s="52"/>
      <c r="I3" s="52"/>
      <c r="J3" s="52"/>
      <c r="K3" s="52"/>
    </row>
    <row r="4" spans="2:11" ht="21" x14ac:dyDescent="0.3">
      <c r="B4" s="53"/>
      <c r="C4" s="53"/>
      <c r="D4" s="53"/>
      <c r="E4" s="53"/>
      <c r="F4" s="53"/>
      <c r="G4" s="53"/>
      <c r="H4" s="53"/>
      <c r="I4" s="53"/>
      <c r="J4" s="53"/>
      <c r="K4" s="53"/>
    </row>
    <row r="5" spans="2:11" ht="20.399999999999999" x14ac:dyDescent="0.35">
      <c r="B5" s="1"/>
      <c r="C5" s="1"/>
      <c r="D5" s="1"/>
      <c r="E5" s="1"/>
      <c r="F5" s="1"/>
      <c r="G5" s="1"/>
      <c r="H5" s="1"/>
      <c r="I5" s="1"/>
      <c r="J5" s="1"/>
      <c r="K5" s="1"/>
    </row>
    <row r="6" spans="2:11" ht="21" x14ac:dyDescent="0.4">
      <c r="B6" s="2"/>
      <c r="C6" s="2"/>
      <c r="D6" s="2"/>
      <c r="E6" s="2"/>
      <c r="F6" s="2"/>
      <c r="G6" s="2"/>
      <c r="H6" s="2"/>
      <c r="I6" s="2"/>
      <c r="J6" s="2"/>
      <c r="K6" s="2"/>
    </row>
    <row r="7" spans="2:11" ht="20.399999999999999" x14ac:dyDescent="0.35">
      <c r="B7" s="54" t="s">
        <v>0</v>
      </c>
      <c r="C7" s="54"/>
      <c r="D7" s="54"/>
      <c r="E7" s="54"/>
      <c r="F7" s="54"/>
      <c r="G7" s="54"/>
      <c r="H7" s="54"/>
      <c r="I7" s="54"/>
      <c r="J7" s="54"/>
      <c r="K7" s="54"/>
    </row>
    <row r="8" spans="2:11" ht="21" x14ac:dyDescent="0.4">
      <c r="B8" s="4" t="s">
        <v>1</v>
      </c>
      <c r="C8" s="3"/>
      <c r="D8" s="5" t="s">
        <v>13</v>
      </c>
      <c r="E8" s="3"/>
      <c r="F8" s="3"/>
      <c r="G8" s="3"/>
      <c r="H8" s="3"/>
      <c r="I8" s="3"/>
      <c r="J8" s="3"/>
      <c r="K8" s="3"/>
    </row>
    <row r="9" spans="2:11" ht="21" x14ac:dyDescent="0.4">
      <c r="B9" s="6" t="s">
        <v>2</v>
      </c>
      <c r="C9" s="7"/>
      <c r="D9" s="8" t="s">
        <v>12</v>
      </c>
      <c r="E9" s="2"/>
      <c r="F9" s="2"/>
      <c r="G9" s="2"/>
      <c r="H9" s="2"/>
      <c r="I9" s="2"/>
      <c r="J9" s="2"/>
      <c r="K9" s="2"/>
    </row>
    <row r="10" spans="2:11" ht="51" customHeight="1" x14ac:dyDescent="0.3">
      <c r="B10" s="55" t="s">
        <v>3</v>
      </c>
      <c r="C10" s="55"/>
      <c r="D10" s="55"/>
      <c r="E10" s="9" t="s">
        <v>4</v>
      </c>
      <c r="F10" s="56" t="s">
        <v>15</v>
      </c>
      <c r="G10" s="56"/>
      <c r="H10" s="56" t="s">
        <v>26</v>
      </c>
      <c r="I10" s="56"/>
      <c r="J10" s="56" t="s">
        <v>27</v>
      </c>
      <c r="K10" s="56"/>
    </row>
    <row r="11" spans="2:11" s="13" customFormat="1" ht="18" x14ac:dyDescent="0.35">
      <c r="B11" s="10" t="s">
        <v>5</v>
      </c>
      <c r="C11" s="10" t="s">
        <v>6</v>
      </c>
      <c r="D11" s="10" t="s">
        <v>7</v>
      </c>
      <c r="E11" s="11"/>
      <c r="F11" s="12" t="s">
        <v>8</v>
      </c>
      <c r="G11" s="12" t="s">
        <v>9</v>
      </c>
      <c r="H11" s="12" t="s">
        <v>8</v>
      </c>
      <c r="I11" s="12" t="s">
        <v>9</v>
      </c>
      <c r="J11" s="12" t="s">
        <v>8</v>
      </c>
      <c r="K11" s="12" t="s">
        <v>9</v>
      </c>
    </row>
    <row r="12" spans="2:11" s="19" customFormat="1" ht="15.6" x14ac:dyDescent="0.3">
      <c r="B12" s="14">
        <v>1800</v>
      </c>
      <c r="C12" s="14" t="s">
        <v>25</v>
      </c>
      <c r="D12" s="39" t="s">
        <v>17</v>
      </c>
      <c r="E12" s="16">
        <v>129600</v>
      </c>
      <c r="F12" s="17">
        <v>60.37</v>
      </c>
      <c r="G12" s="18">
        <f>+F12*B12</f>
        <v>108666</v>
      </c>
      <c r="H12" s="18">
        <v>65</v>
      </c>
      <c r="I12" s="18">
        <f>+H12*B12</f>
        <v>117000</v>
      </c>
      <c r="J12" s="18">
        <v>66</v>
      </c>
      <c r="K12" s="18">
        <f>+J12*B12</f>
        <v>118800</v>
      </c>
    </row>
    <row r="13" spans="2:11" s="19" customFormat="1" ht="15.6" x14ac:dyDescent="0.3">
      <c r="B13" s="14"/>
      <c r="C13" s="14"/>
      <c r="D13" s="15" t="s">
        <v>18</v>
      </c>
      <c r="E13" s="16"/>
      <c r="F13" s="17"/>
      <c r="G13" s="18"/>
      <c r="H13" s="18"/>
      <c r="I13" s="18"/>
      <c r="J13" s="18"/>
      <c r="K13" s="18"/>
    </row>
    <row r="14" spans="2:11" s="19" customFormat="1" ht="15.6" x14ac:dyDescent="0.3">
      <c r="B14" s="14"/>
      <c r="C14" s="14"/>
      <c r="D14" s="15" t="s">
        <v>19</v>
      </c>
      <c r="E14" s="16"/>
      <c r="F14" s="17"/>
      <c r="G14" s="18"/>
      <c r="H14" s="18"/>
      <c r="I14" s="18"/>
      <c r="J14" s="18"/>
      <c r="K14" s="18"/>
    </row>
    <row r="15" spans="2:11" s="19" customFormat="1" ht="15.6" x14ac:dyDescent="0.3">
      <c r="B15" s="14"/>
      <c r="C15" s="14"/>
      <c r="D15" s="15" t="s">
        <v>20</v>
      </c>
      <c r="E15" s="16"/>
      <c r="F15" s="17"/>
      <c r="G15" s="18"/>
      <c r="H15" s="18"/>
      <c r="I15" s="18"/>
      <c r="J15" s="18"/>
      <c r="K15" s="18"/>
    </row>
    <row r="16" spans="2:11" s="19" customFormat="1" ht="15.6" x14ac:dyDescent="0.3">
      <c r="B16" s="14"/>
      <c r="C16" s="14"/>
      <c r="D16" s="15" t="s">
        <v>21</v>
      </c>
      <c r="E16" s="16"/>
      <c r="F16" s="17"/>
      <c r="G16" s="18"/>
      <c r="H16" s="18"/>
      <c r="I16" s="18"/>
      <c r="J16" s="18"/>
      <c r="K16" s="18"/>
    </row>
    <row r="17" spans="2:11" s="19" customFormat="1" ht="15.6" x14ac:dyDescent="0.3">
      <c r="B17" s="14"/>
      <c r="C17" s="14"/>
      <c r="D17" s="40" t="s">
        <v>22</v>
      </c>
      <c r="E17" s="16"/>
      <c r="F17" s="17"/>
      <c r="G17" s="18"/>
      <c r="H17" s="18"/>
      <c r="I17" s="18"/>
      <c r="J17" s="18"/>
      <c r="K17" s="18"/>
    </row>
    <row r="18" spans="2:11" s="19" customFormat="1" ht="15.6" x14ac:dyDescent="0.3">
      <c r="B18" s="14"/>
      <c r="C18" s="14"/>
      <c r="D18" s="15" t="s">
        <v>23</v>
      </c>
      <c r="E18" s="16"/>
      <c r="F18" s="17"/>
      <c r="G18" s="18"/>
      <c r="H18" s="18"/>
      <c r="I18" s="18"/>
      <c r="J18" s="18"/>
      <c r="K18" s="18"/>
    </row>
    <row r="19" spans="2:11" s="19" customFormat="1" ht="15.6" x14ac:dyDescent="0.3">
      <c r="B19" s="14"/>
      <c r="C19" s="14"/>
      <c r="D19" s="15" t="s">
        <v>24</v>
      </c>
      <c r="E19" s="16"/>
      <c r="F19" s="17"/>
      <c r="G19" s="18"/>
      <c r="H19" s="18"/>
      <c r="I19" s="18"/>
      <c r="J19" s="18"/>
      <c r="K19" s="18"/>
    </row>
    <row r="20" spans="2:11" s="19" customFormat="1" ht="15.6" x14ac:dyDescent="0.3">
      <c r="B20" s="14"/>
      <c r="C20" s="14"/>
      <c r="D20" s="20"/>
      <c r="E20" s="16"/>
      <c r="F20" s="17"/>
      <c r="G20" s="18"/>
      <c r="H20" s="18"/>
      <c r="I20" s="18"/>
      <c r="J20" s="18"/>
      <c r="K20" s="18"/>
    </row>
    <row r="21" spans="2:11" ht="31.2" x14ac:dyDescent="0.3">
      <c r="B21" s="21"/>
      <c r="C21" s="22"/>
      <c r="D21" s="23" t="s">
        <v>14</v>
      </c>
      <c r="E21" s="24"/>
      <c r="F21" s="25"/>
      <c r="G21" s="26">
        <f>SUM(G12:G20)</f>
        <v>108666</v>
      </c>
      <c r="H21" s="27"/>
      <c r="I21" s="27">
        <f>SUM(I12:I20)</f>
        <v>117000</v>
      </c>
      <c r="J21" s="27"/>
      <c r="K21" s="27">
        <f>SUM(K12:K20)</f>
        <v>118800</v>
      </c>
    </row>
    <row r="22" spans="2:11" ht="15.6" x14ac:dyDescent="0.3">
      <c r="B22" s="28"/>
      <c r="C22" s="29"/>
      <c r="D22" s="30"/>
      <c r="E22" s="30"/>
      <c r="F22" s="31"/>
      <c r="G22" s="32"/>
      <c r="H22" s="32"/>
      <c r="I22" s="32"/>
      <c r="J22" s="32"/>
      <c r="K22" s="32"/>
    </row>
    <row r="23" spans="2:11" ht="15.6" x14ac:dyDescent="0.3">
      <c r="B23" s="33" t="s">
        <v>10</v>
      </c>
      <c r="C23" s="34"/>
      <c r="D23" s="34"/>
      <c r="E23" s="34"/>
      <c r="F23" s="35"/>
      <c r="G23" s="35"/>
      <c r="H23" s="35"/>
      <c r="I23" s="35"/>
      <c r="J23" s="35"/>
      <c r="K23" s="35"/>
    </row>
    <row r="24" spans="2:11" ht="15.6" x14ac:dyDescent="0.3">
      <c r="B24" s="48" t="s">
        <v>16</v>
      </c>
      <c r="C24" s="48"/>
      <c r="D24" s="48"/>
      <c r="E24" s="48"/>
      <c r="F24" s="48"/>
      <c r="G24" s="48"/>
      <c r="H24" s="48"/>
      <c r="I24" s="48"/>
      <c r="J24" s="48"/>
      <c r="K24" s="48"/>
    </row>
    <row r="25" spans="2:11" ht="15.6" x14ac:dyDescent="0.3">
      <c r="B25" s="33" t="s">
        <v>11</v>
      </c>
      <c r="C25" s="36"/>
      <c r="D25" s="36"/>
      <c r="E25" s="36"/>
      <c r="F25" s="35"/>
      <c r="G25" s="35"/>
      <c r="H25" s="35"/>
      <c r="I25" s="35"/>
      <c r="J25" s="35"/>
      <c r="K25" s="35"/>
    </row>
    <row r="26" spans="2:11" ht="20.399999999999999" x14ac:dyDescent="0.35">
      <c r="B26" s="37"/>
      <c r="C26" s="1"/>
      <c r="D26" s="1"/>
      <c r="E26" s="1"/>
      <c r="F26" s="1"/>
      <c r="G26" s="1"/>
      <c r="H26" s="1"/>
      <c r="I26" s="1"/>
      <c r="J26" s="1"/>
      <c r="K26" s="1"/>
    </row>
    <row r="27" spans="2:11" ht="20.399999999999999" x14ac:dyDescent="0.35">
      <c r="B27" s="1"/>
      <c r="C27" s="1"/>
      <c r="D27" s="1"/>
      <c r="E27" s="1"/>
      <c r="F27" s="1"/>
      <c r="G27" s="1"/>
      <c r="H27" s="1"/>
      <c r="I27" s="1"/>
      <c r="J27" s="1"/>
      <c r="K27" s="1"/>
    </row>
    <row r="28" spans="2:11" ht="20.399999999999999" x14ac:dyDescent="0.35">
      <c r="B28" s="1"/>
      <c r="C28" s="1"/>
      <c r="D28" s="1"/>
      <c r="E28" s="1"/>
      <c r="F28" s="1"/>
    </row>
    <row r="29" spans="2:11" ht="21" x14ac:dyDescent="0.4">
      <c r="B29" s="38"/>
      <c r="C29" s="38"/>
      <c r="D29" s="38"/>
      <c r="E29" s="38"/>
      <c r="F29" s="1"/>
      <c r="G29" s="49"/>
      <c r="H29" s="49"/>
      <c r="I29" s="49"/>
      <c r="J29" s="49"/>
      <c r="K29" s="49"/>
    </row>
    <row r="30" spans="2:11" ht="20.399999999999999" x14ac:dyDescent="0.35">
      <c r="B30" s="1"/>
      <c r="C30" s="1"/>
      <c r="D30" s="1"/>
      <c r="E30" s="1"/>
      <c r="F30" s="1"/>
      <c r="G30" s="50"/>
      <c r="H30" s="50"/>
      <c r="I30" s="50"/>
      <c r="J30" s="50"/>
      <c r="K30" s="50"/>
    </row>
  </sheetData>
  <mergeCells count="11">
    <mergeCell ref="B24:K24"/>
    <mergeCell ref="G29:K29"/>
    <mergeCell ref="G30:K30"/>
    <mergeCell ref="B2:K2"/>
    <mergeCell ref="B3:K3"/>
    <mergeCell ref="B4:K4"/>
    <mergeCell ref="B7:K7"/>
    <mergeCell ref="B10:D10"/>
    <mergeCell ref="F10:G10"/>
    <mergeCell ref="H10:I10"/>
    <mergeCell ref="J10:K10"/>
  </mergeCells>
  <pageMargins left="0" right="0" top="0" bottom="0" header="0" footer="0"/>
  <pageSetup paperSize="9" scale="85" orientation="landscape" horizontalDpi="0" verticalDpi="0" r:id="rId1"/>
  <colBreaks count="1" manualBreakCount="1">
    <brk id="11"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DE5A4-00DA-49BE-A3EB-3B16930FCB6C}">
  <dimension ref="B2:K30"/>
  <sheetViews>
    <sheetView view="pageBreakPreview" zoomScale="60" zoomScaleNormal="100" workbookViewId="0">
      <selection activeCell="M11" sqref="A1:XFD1048576"/>
    </sheetView>
  </sheetViews>
  <sheetFormatPr defaultColWidth="9" defaultRowHeight="14.4" x14ac:dyDescent="0.3"/>
  <cols>
    <col min="1" max="1" width="3.109375" customWidth="1"/>
    <col min="2" max="2" width="10.109375" customWidth="1"/>
    <col min="4" max="4" width="54.21875" customWidth="1"/>
    <col min="5" max="5" width="14.88671875" bestFit="1" customWidth="1"/>
    <col min="6" max="6" width="12.88671875" customWidth="1"/>
    <col min="7" max="7" width="14.33203125" bestFit="1" customWidth="1"/>
    <col min="8" max="8" width="12.77734375" customWidth="1"/>
    <col min="9" max="9" width="12.33203125" customWidth="1"/>
    <col min="10" max="10" width="13.6640625" customWidth="1"/>
    <col min="11" max="11" width="13.77734375" customWidth="1"/>
  </cols>
  <sheetData>
    <row r="2" spans="2:11" ht="21" x14ac:dyDescent="0.3">
      <c r="B2" s="51"/>
      <c r="C2" s="51"/>
      <c r="D2" s="51"/>
      <c r="E2" s="51"/>
      <c r="F2" s="51"/>
      <c r="G2" s="51"/>
      <c r="H2" s="51"/>
      <c r="I2" s="51"/>
      <c r="J2" s="51"/>
      <c r="K2" s="51"/>
    </row>
    <row r="3" spans="2:11" ht="20.399999999999999" x14ac:dyDescent="0.3">
      <c r="B3" s="52"/>
      <c r="C3" s="52"/>
      <c r="D3" s="52"/>
      <c r="E3" s="52"/>
      <c r="F3" s="52"/>
      <c r="G3" s="52"/>
      <c r="H3" s="52"/>
      <c r="I3" s="52"/>
      <c r="J3" s="52"/>
      <c r="K3" s="52"/>
    </row>
    <row r="4" spans="2:11" ht="21" x14ac:dyDescent="0.3">
      <c r="B4" s="53"/>
      <c r="C4" s="53"/>
      <c r="D4" s="53"/>
      <c r="E4" s="53"/>
      <c r="F4" s="53"/>
      <c r="G4" s="53"/>
      <c r="H4" s="53"/>
      <c r="I4" s="53"/>
      <c r="J4" s="53"/>
      <c r="K4" s="53"/>
    </row>
    <row r="5" spans="2:11" ht="20.399999999999999" x14ac:dyDescent="0.35">
      <c r="B5" s="1"/>
      <c r="C5" s="1"/>
      <c r="D5" s="1"/>
      <c r="E5" s="1"/>
      <c r="F5" s="1"/>
      <c r="G5" s="1"/>
      <c r="H5" s="1"/>
      <c r="I5" s="1"/>
      <c r="J5" s="1"/>
      <c r="K5" s="1"/>
    </row>
    <row r="6" spans="2:11" ht="21" x14ac:dyDescent="0.4">
      <c r="B6" s="2"/>
      <c r="C6" s="2"/>
      <c r="D6" s="2"/>
      <c r="E6" s="2"/>
      <c r="F6" s="2"/>
      <c r="G6" s="2"/>
      <c r="H6" s="2"/>
      <c r="I6" s="2"/>
      <c r="J6" s="2"/>
      <c r="K6" s="2"/>
    </row>
    <row r="7" spans="2:11" ht="20.399999999999999" x14ac:dyDescent="0.35">
      <c r="B7" s="54" t="s">
        <v>0</v>
      </c>
      <c r="C7" s="54"/>
      <c r="D7" s="54"/>
      <c r="E7" s="54"/>
      <c r="F7" s="54"/>
      <c r="G7" s="54"/>
      <c r="H7" s="54"/>
      <c r="I7" s="54"/>
      <c r="J7" s="54"/>
      <c r="K7" s="54"/>
    </row>
    <row r="8" spans="2:11" ht="21" x14ac:dyDescent="0.4">
      <c r="B8" s="4" t="s">
        <v>1</v>
      </c>
      <c r="C8" s="3"/>
      <c r="D8" s="5" t="s">
        <v>28</v>
      </c>
      <c r="E8" s="3"/>
      <c r="F8" s="3"/>
      <c r="G8" s="3"/>
      <c r="H8" s="3"/>
      <c r="I8" s="3"/>
      <c r="J8" s="3"/>
      <c r="K8" s="3"/>
    </row>
    <row r="9" spans="2:11" ht="21" x14ac:dyDescent="0.4">
      <c r="B9" s="6" t="s">
        <v>2</v>
      </c>
      <c r="C9" s="7"/>
      <c r="D9" s="8" t="s">
        <v>12</v>
      </c>
      <c r="E9" s="2"/>
      <c r="F9" s="2"/>
      <c r="G9" s="2"/>
      <c r="H9" s="2"/>
      <c r="I9" s="2"/>
      <c r="J9" s="2"/>
      <c r="K9" s="2"/>
    </row>
    <row r="10" spans="2:11" ht="69" customHeight="1" x14ac:dyDescent="0.3">
      <c r="B10" s="55" t="s">
        <v>3</v>
      </c>
      <c r="C10" s="55"/>
      <c r="D10" s="55"/>
      <c r="E10" s="9" t="s">
        <v>4</v>
      </c>
      <c r="F10" s="56" t="s">
        <v>33</v>
      </c>
      <c r="G10" s="56"/>
      <c r="H10" s="56" t="s">
        <v>34</v>
      </c>
      <c r="I10" s="56"/>
      <c r="J10" s="56" t="s">
        <v>35</v>
      </c>
      <c r="K10" s="56"/>
    </row>
    <row r="11" spans="2:11" s="13" customFormat="1" ht="18" x14ac:dyDescent="0.35">
      <c r="B11" s="10" t="s">
        <v>5</v>
      </c>
      <c r="C11" s="10" t="s">
        <v>6</v>
      </c>
      <c r="D11" s="43" t="s">
        <v>7</v>
      </c>
      <c r="E11" s="41"/>
      <c r="F11" s="12" t="s">
        <v>8</v>
      </c>
      <c r="G11" s="12" t="s">
        <v>9</v>
      </c>
      <c r="H11" s="12" t="s">
        <v>8</v>
      </c>
      <c r="I11" s="12" t="s">
        <v>9</v>
      </c>
      <c r="J11" s="12" t="s">
        <v>8</v>
      </c>
      <c r="K11" s="12" t="s">
        <v>9</v>
      </c>
    </row>
    <row r="12" spans="2:11" s="19" customFormat="1" ht="15.6" x14ac:dyDescent="0.3">
      <c r="B12" s="14">
        <v>850</v>
      </c>
      <c r="C12" s="14" t="s">
        <v>32</v>
      </c>
      <c r="D12" s="44" t="s">
        <v>29</v>
      </c>
      <c r="E12" s="42">
        <v>42500</v>
      </c>
      <c r="F12" s="17">
        <v>40</v>
      </c>
      <c r="G12" s="18">
        <f>+F12*B12</f>
        <v>34000</v>
      </c>
      <c r="H12" s="18">
        <v>42</v>
      </c>
      <c r="I12" s="18">
        <f>+H12*B12</f>
        <v>35700</v>
      </c>
      <c r="J12" s="18">
        <v>43</v>
      </c>
      <c r="K12" s="18">
        <f>+J12*B12</f>
        <v>36550</v>
      </c>
    </row>
    <row r="13" spans="2:11" s="19" customFormat="1" ht="15.6" x14ac:dyDescent="0.3">
      <c r="B13" s="14"/>
      <c r="C13" s="14"/>
      <c r="D13" s="45" t="s">
        <v>30</v>
      </c>
      <c r="E13" s="42"/>
      <c r="F13" s="17"/>
      <c r="G13" s="18"/>
      <c r="H13" s="18"/>
      <c r="I13" s="18"/>
      <c r="J13" s="18"/>
      <c r="K13" s="18"/>
    </row>
    <row r="14" spans="2:11" s="19" customFormat="1" ht="15.6" x14ac:dyDescent="0.3">
      <c r="B14" s="14"/>
      <c r="C14" s="14"/>
      <c r="D14" s="45" t="s">
        <v>31</v>
      </c>
      <c r="E14" s="42"/>
      <c r="F14" s="17"/>
      <c r="G14" s="18"/>
      <c r="H14" s="18"/>
      <c r="I14" s="18"/>
      <c r="J14" s="18"/>
      <c r="K14" s="18"/>
    </row>
    <row r="15" spans="2:11" s="19" customFormat="1" ht="15.6" x14ac:dyDescent="0.3">
      <c r="B15" s="14"/>
      <c r="C15" s="14"/>
      <c r="D15" s="45"/>
      <c r="E15" s="16"/>
      <c r="F15" s="17"/>
      <c r="G15" s="18"/>
      <c r="H15" s="18"/>
      <c r="I15" s="18"/>
      <c r="J15" s="18"/>
      <c r="K15" s="18"/>
    </row>
    <row r="16" spans="2:11" s="19" customFormat="1" ht="15.6" x14ac:dyDescent="0.3">
      <c r="B16" s="14"/>
      <c r="C16" s="14"/>
      <c r="D16" s="15"/>
      <c r="E16" s="16"/>
      <c r="F16" s="17"/>
      <c r="G16" s="18"/>
      <c r="H16" s="18"/>
      <c r="I16" s="18"/>
      <c r="J16" s="18"/>
      <c r="K16" s="18"/>
    </row>
    <row r="17" spans="2:11" s="19" customFormat="1" ht="15.6" x14ac:dyDescent="0.3">
      <c r="B17" s="14"/>
      <c r="C17" s="14"/>
      <c r="D17" s="40"/>
      <c r="E17" s="16"/>
      <c r="F17" s="17"/>
      <c r="G17" s="18"/>
      <c r="H17" s="18"/>
      <c r="I17" s="18"/>
      <c r="J17" s="18"/>
      <c r="K17" s="18"/>
    </row>
    <row r="18" spans="2:11" s="19" customFormat="1" ht="15.6" x14ac:dyDescent="0.3">
      <c r="B18" s="14"/>
      <c r="C18" s="14"/>
      <c r="D18" s="15"/>
      <c r="E18" s="16"/>
      <c r="F18" s="17"/>
      <c r="G18" s="18"/>
      <c r="H18" s="18"/>
      <c r="I18" s="18"/>
      <c r="J18" s="18"/>
      <c r="K18" s="18"/>
    </row>
    <row r="19" spans="2:11" s="19" customFormat="1" ht="15.6" x14ac:dyDescent="0.3">
      <c r="B19" s="14"/>
      <c r="C19" s="14"/>
      <c r="D19" s="15"/>
      <c r="E19" s="16"/>
      <c r="F19" s="17"/>
      <c r="G19" s="18"/>
      <c r="H19" s="18"/>
      <c r="I19" s="18"/>
      <c r="J19" s="18"/>
      <c r="K19" s="18"/>
    </row>
    <row r="20" spans="2:11" s="19" customFormat="1" ht="15.6" x14ac:dyDescent="0.3">
      <c r="B20" s="14"/>
      <c r="C20" s="14"/>
      <c r="D20" s="20"/>
      <c r="E20" s="16"/>
      <c r="F20" s="17"/>
      <c r="G20" s="18"/>
      <c r="H20" s="18"/>
      <c r="I20" s="18"/>
      <c r="J20" s="18"/>
      <c r="K20" s="18"/>
    </row>
    <row r="21" spans="2:11" ht="31.2" x14ac:dyDescent="0.3">
      <c r="B21" s="21"/>
      <c r="C21" s="22"/>
      <c r="D21" s="23" t="s">
        <v>36</v>
      </c>
      <c r="E21" s="24"/>
      <c r="F21" s="25"/>
      <c r="G21" s="26">
        <f>SUM(G12:G20)</f>
        <v>34000</v>
      </c>
      <c r="H21" s="27"/>
      <c r="I21" s="27">
        <f>SUM(I12:I20)</f>
        <v>35700</v>
      </c>
      <c r="J21" s="27"/>
      <c r="K21" s="27">
        <f>SUM(K12:K20)</f>
        <v>36550</v>
      </c>
    </row>
    <row r="22" spans="2:11" ht="15.6" x14ac:dyDescent="0.3">
      <c r="B22" s="28"/>
      <c r="C22" s="29"/>
      <c r="D22" s="30"/>
      <c r="E22" s="30"/>
      <c r="F22" s="31"/>
      <c r="G22" s="32"/>
      <c r="H22" s="32"/>
      <c r="I22" s="32"/>
      <c r="J22" s="32"/>
      <c r="K22" s="32"/>
    </row>
    <row r="23" spans="2:11" ht="15.6" x14ac:dyDescent="0.3">
      <c r="B23" s="33" t="s">
        <v>10</v>
      </c>
      <c r="C23" s="34"/>
      <c r="D23" s="34"/>
      <c r="E23" s="34"/>
      <c r="F23" s="35"/>
      <c r="G23" s="35"/>
      <c r="H23" s="35"/>
      <c r="I23" s="35"/>
      <c r="J23" s="35"/>
      <c r="K23" s="35"/>
    </row>
    <row r="24" spans="2:11" ht="15.6" x14ac:dyDescent="0.3">
      <c r="B24" s="48" t="s">
        <v>37</v>
      </c>
      <c r="C24" s="48"/>
      <c r="D24" s="48"/>
      <c r="E24" s="48"/>
      <c r="F24" s="48"/>
      <c r="G24" s="48"/>
      <c r="H24" s="48"/>
      <c r="I24" s="48"/>
      <c r="J24" s="48"/>
      <c r="K24" s="48"/>
    </row>
    <row r="25" spans="2:11" ht="15.6" x14ac:dyDescent="0.3">
      <c r="B25" s="33" t="s">
        <v>11</v>
      </c>
      <c r="C25" s="36"/>
      <c r="D25" s="36"/>
      <c r="E25" s="36"/>
      <c r="F25" s="35"/>
      <c r="G25" s="35"/>
      <c r="H25" s="35"/>
      <c r="I25" s="35"/>
      <c r="J25" s="35"/>
      <c r="K25" s="35"/>
    </row>
    <row r="26" spans="2:11" ht="20.399999999999999" x14ac:dyDescent="0.35">
      <c r="B26" s="37"/>
      <c r="C26" s="1"/>
      <c r="D26" s="1"/>
      <c r="E26" s="1"/>
      <c r="F26" s="1"/>
      <c r="G26" s="1"/>
      <c r="H26" s="1"/>
      <c r="I26" s="1"/>
      <c r="J26" s="1"/>
      <c r="K26" s="1"/>
    </row>
    <row r="27" spans="2:11" ht="20.399999999999999" x14ac:dyDescent="0.35">
      <c r="B27" s="1"/>
      <c r="C27" s="1"/>
      <c r="D27" s="1"/>
      <c r="E27" s="1"/>
      <c r="F27" s="1"/>
      <c r="G27" s="1"/>
      <c r="H27" s="1"/>
      <c r="I27" s="1"/>
      <c r="J27" s="1"/>
      <c r="K27" s="1"/>
    </row>
    <row r="28" spans="2:11" ht="20.399999999999999" x14ac:dyDescent="0.35">
      <c r="B28" s="1"/>
      <c r="C28" s="1"/>
      <c r="D28" s="1"/>
      <c r="E28" s="1"/>
      <c r="F28" s="1"/>
    </row>
    <row r="29" spans="2:11" ht="21" x14ac:dyDescent="0.4">
      <c r="B29" s="38"/>
      <c r="C29" s="38"/>
      <c r="D29" s="38"/>
      <c r="E29" s="38"/>
      <c r="F29" s="1"/>
      <c r="G29" s="49"/>
      <c r="H29" s="49"/>
      <c r="I29" s="49"/>
      <c r="J29" s="49"/>
      <c r="K29" s="49"/>
    </row>
    <row r="30" spans="2:11" ht="20.399999999999999" x14ac:dyDescent="0.35">
      <c r="B30" s="1"/>
      <c r="C30" s="1"/>
      <c r="D30" s="1"/>
      <c r="E30" s="1"/>
      <c r="F30" s="1"/>
      <c r="G30" s="50"/>
      <c r="H30" s="50"/>
      <c r="I30" s="50"/>
      <c r="J30" s="50"/>
      <c r="K30" s="50"/>
    </row>
  </sheetData>
  <mergeCells count="11">
    <mergeCell ref="B24:K24"/>
    <mergeCell ref="G29:K29"/>
    <mergeCell ref="G30:K30"/>
    <mergeCell ref="B2:K2"/>
    <mergeCell ref="B3:K3"/>
    <mergeCell ref="B4:K4"/>
    <mergeCell ref="B7:K7"/>
    <mergeCell ref="B10:D10"/>
    <mergeCell ref="F10:G10"/>
    <mergeCell ref="H10:I10"/>
    <mergeCell ref="J10:K10"/>
  </mergeCells>
  <pageMargins left="0" right="0" top="0" bottom="0" header="0" footer="0"/>
  <pageSetup paperSize="9" scale="85" orientation="landscape" horizontalDpi="0" verticalDpi="0" r:id="rId1"/>
  <colBreaks count="1" manualBreakCount="1">
    <brk id="11"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AE0C9-F337-4931-A69F-4BCB35F2235C}">
  <dimension ref="B2:K30"/>
  <sheetViews>
    <sheetView view="pageBreakPreview" zoomScale="60" zoomScaleNormal="100" workbookViewId="0">
      <selection activeCell="J13" sqref="A1:XFD1048576"/>
    </sheetView>
  </sheetViews>
  <sheetFormatPr defaultColWidth="9" defaultRowHeight="14.4" x14ac:dyDescent="0.3"/>
  <cols>
    <col min="1" max="1" width="3.109375" customWidth="1"/>
    <col min="2" max="2" width="10.109375" customWidth="1"/>
    <col min="4" max="4" width="54.21875" customWidth="1"/>
    <col min="5" max="5" width="14.88671875" bestFit="1" customWidth="1"/>
    <col min="6" max="6" width="12.88671875" customWidth="1"/>
    <col min="7" max="7" width="14.33203125" bestFit="1" customWidth="1"/>
    <col min="8" max="8" width="12.77734375" customWidth="1"/>
    <col min="9" max="9" width="12.33203125" customWidth="1"/>
    <col min="10" max="10" width="13.6640625" customWidth="1"/>
    <col min="11" max="11" width="13.77734375" customWidth="1"/>
  </cols>
  <sheetData>
    <row r="2" spans="2:11" ht="21" x14ac:dyDescent="0.3">
      <c r="B2" s="51"/>
      <c r="C2" s="51"/>
      <c r="D2" s="51"/>
      <c r="E2" s="51"/>
      <c r="F2" s="51"/>
      <c r="G2" s="51"/>
      <c r="H2" s="51"/>
      <c r="I2" s="51"/>
      <c r="J2" s="51"/>
      <c r="K2" s="51"/>
    </row>
    <row r="3" spans="2:11" ht="20.399999999999999" x14ac:dyDescent="0.3">
      <c r="B3" s="52"/>
      <c r="C3" s="52"/>
      <c r="D3" s="52"/>
      <c r="E3" s="52"/>
      <c r="F3" s="52"/>
      <c r="G3" s="52"/>
      <c r="H3" s="52"/>
      <c r="I3" s="52"/>
      <c r="J3" s="52"/>
      <c r="K3" s="52"/>
    </row>
    <row r="4" spans="2:11" ht="21" x14ac:dyDescent="0.3">
      <c r="B4" s="53"/>
      <c r="C4" s="53"/>
      <c r="D4" s="53"/>
      <c r="E4" s="53"/>
      <c r="F4" s="53"/>
      <c r="G4" s="53"/>
      <c r="H4" s="53"/>
      <c r="I4" s="53"/>
      <c r="J4" s="53"/>
      <c r="K4" s="53"/>
    </row>
    <row r="5" spans="2:11" ht="20.399999999999999" x14ac:dyDescent="0.35">
      <c r="B5" s="1"/>
      <c r="C5" s="1"/>
      <c r="D5" s="1"/>
      <c r="E5" s="1"/>
      <c r="F5" s="1"/>
      <c r="G5" s="1"/>
      <c r="H5" s="1"/>
      <c r="I5" s="1"/>
      <c r="J5" s="1"/>
      <c r="K5" s="1"/>
    </row>
    <row r="6" spans="2:11" ht="21" x14ac:dyDescent="0.4">
      <c r="B6" s="2"/>
      <c r="C6" s="2"/>
      <c r="D6" s="2"/>
      <c r="E6" s="2"/>
      <c r="F6" s="2"/>
      <c r="G6" s="2"/>
      <c r="H6" s="2"/>
      <c r="I6" s="2"/>
      <c r="J6" s="2"/>
      <c r="K6" s="2"/>
    </row>
    <row r="7" spans="2:11" ht="20.399999999999999" x14ac:dyDescent="0.35">
      <c r="B7" s="54" t="s">
        <v>0</v>
      </c>
      <c r="C7" s="54"/>
      <c r="D7" s="54"/>
      <c r="E7" s="54"/>
      <c r="F7" s="54"/>
      <c r="G7" s="54"/>
      <c r="H7" s="54"/>
      <c r="I7" s="54"/>
      <c r="J7" s="54"/>
      <c r="K7" s="54"/>
    </row>
    <row r="8" spans="2:11" ht="21" x14ac:dyDescent="0.4">
      <c r="B8" s="4" t="s">
        <v>1</v>
      </c>
      <c r="C8" s="3"/>
      <c r="D8" s="5" t="s">
        <v>38</v>
      </c>
      <c r="E8" s="3"/>
      <c r="F8" s="3"/>
      <c r="G8" s="3"/>
      <c r="H8" s="3"/>
      <c r="I8" s="3"/>
      <c r="J8" s="3"/>
      <c r="K8" s="3"/>
    </row>
    <row r="9" spans="2:11" ht="21" x14ac:dyDescent="0.4">
      <c r="B9" s="6" t="s">
        <v>2</v>
      </c>
      <c r="C9" s="7"/>
      <c r="D9" s="8" t="s">
        <v>12</v>
      </c>
      <c r="E9" s="2"/>
      <c r="F9" s="2"/>
      <c r="G9" s="2"/>
      <c r="H9" s="2"/>
      <c r="I9" s="2"/>
      <c r="J9" s="2"/>
      <c r="K9" s="2"/>
    </row>
    <row r="10" spans="2:11" ht="69" customHeight="1" x14ac:dyDescent="0.3">
      <c r="B10" s="55" t="s">
        <v>3</v>
      </c>
      <c r="C10" s="55"/>
      <c r="D10" s="55"/>
      <c r="E10" s="9" t="s">
        <v>4</v>
      </c>
      <c r="F10" s="56" t="s">
        <v>42</v>
      </c>
      <c r="G10" s="56"/>
      <c r="H10" s="56" t="s">
        <v>46</v>
      </c>
      <c r="I10" s="56"/>
      <c r="J10" s="56" t="s">
        <v>45</v>
      </c>
      <c r="K10" s="56"/>
    </row>
    <row r="11" spans="2:11" s="13" customFormat="1" ht="18" x14ac:dyDescent="0.35">
      <c r="B11" s="10" t="s">
        <v>5</v>
      </c>
      <c r="C11" s="10" t="s">
        <v>6</v>
      </c>
      <c r="D11" s="43" t="s">
        <v>7</v>
      </c>
      <c r="E11" s="41"/>
      <c r="F11" s="12" t="s">
        <v>8</v>
      </c>
      <c r="G11" s="12" t="s">
        <v>9</v>
      </c>
      <c r="H11" s="12" t="s">
        <v>8</v>
      </c>
      <c r="I11" s="12" t="s">
        <v>9</v>
      </c>
      <c r="J11" s="12" t="s">
        <v>8</v>
      </c>
      <c r="K11" s="12" t="s">
        <v>9</v>
      </c>
    </row>
    <row r="12" spans="2:11" s="19" customFormat="1" ht="15.6" x14ac:dyDescent="0.3">
      <c r="B12" s="14">
        <v>1500</v>
      </c>
      <c r="C12" s="14" t="s">
        <v>41</v>
      </c>
      <c r="D12" s="44" t="s">
        <v>39</v>
      </c>
      <c r="E12" s="42">
        <v>30000</v>
      </c>
      <c r="F12" s="17">
        <v>15</v>
      </c>
      <c r="G12" s="18">
        <f>+F12*B12</f>
        <v>22500</v>
      </c>
      <c r="H12" s="18">
        <v>16</v>
      </c>
      <c r="I12" s="18">
        <f>+H12*B12</f>
        <v>24000</v>
      </c>
      <c r="J12" s="18">
        <v>16.5</v>
      </c>
      <c r="K12" s="18">
        <f>+J12*B12</f>
        <v>24750</v>
      </c>
    </row>
    <row r="13" spans="2:11" s="19" customFormat="1" ht="15.6" x14ac:dyDescent="0.3">
      <c r="B13" s="14"/>
      <c r="C13" s="14"/>
      <c r="D13" s="45" t="s">
        <v>30</v>
      </c>
      <c r="E13" s="42"/>
      <c r="F13" s="17"/>
      <c r="G13" s="18"/>
      <c r="H13" s="18"/>
      <c r="I13" s="18"/>
      <c r="J13" s="18"/>
      <c r="K13" s="18"/>
    </row>
    <row r="14" spans="2:11" s="19" customFormat="1" ht="15.6" x14ac:dyDescent="0.3">
      <c r="B14" s="14"/>
      <c r="C14" s="14"/>
      <c r="D14" s="45" t="s">
        <v>40</v>
      </c>
      <c r="E14" s="42"/>
      <c r="F14" s="17"/>
      <c r="G14" s="18"/>
      <c r="H14" s="18"/>
      <c r="I14" s="18"/>
      <c r="J14" s="18"/>
      <c r="K14" s="18"/>
    </row>
    <row r="15" spans="2:11" s="19" customFormat="1" ht="15.6" x14ac:dyDescent="0.3">
      <c r="B15" s="14"/>
      <c r="C15" s="14"/>
      <c r="D15" s="45"/>
      <c r="E15" s="42"/>
      <c r="F15" s="17"/>
      <c r="G15" s="18"/>
      <c r="H15" s="18"/>
      <c r="I15" s="18"/>
      <c r="J15" s="18"/>
      <c r="K15" s="18"/>
    </row>
    <row r="16" spans="2:11" s="19" customFormat="1" ht="15.6" x14ac:dyDescent="0.3">
      <c r="B16" s="14"/>
      <c r="C16" s="14"/>
      <c r="D16" s="45"/>
      <c r="E16" s="16"/>
      <c r="F16" s="17"/>
      <c r="G16" s="18"/>
      <c r="H16" s="18"/>
      <c r="I16" s="18"/>
      <c r="J16" s="18"/>
      <c r="K16" s="18"/>
    </row>
    <row r="17" spans="2:11" s="19" customFormat="1" ht="15.6" x14ac:dyDescent="0.3">
      <c r="B17" s="14"/>
      <c r="C17" s="14"/>
      <c r="D17" s="40"/>
      <c r="E17" s="16"/>
      <c r="F17" s="17"/>
      <c r="G17" s="18"/>
      <c r="H17" s="18"/>
      <c r="I17" s="18"/>
      <c r="J17" s="18"/>
      <c r="K17" s="18"/>
    </row>
    <row r="18" spans="2:11" s="19" customFormat="1" ht="15.6" x14ac:dyDescent="0.3">
      <c r="B18" s="14"/>
      <c r="C18" s="14"/>
      <c r="D18" s="15"/>
      <c r="E18" s="16"/>
      <c r="F18" s="17"/>
      <c r="G18" s="18"/>
      <c r="H18" s="18"/>
      <c r="I18" s="18"/>
      <c r="J18" s="18"/>
      <c r="K18" s="18"/>
    </row>
    <row r="19" spans="2:11" s="19" customFormat="1" ht="15.6" x14ac:dyDescent="0.3">
      <c r="B19" s="14"/>
      <c r="C19" s="14"/>
      <c r="D19" s="15"/>
      <c r="E19" s="16"/>
      <c r="F19" s="17"/>
      <c r="G19" s="18"/>
      <c r="H19" s="18"/>
      <c r="I19" s="18"/>
      <c r="J19" s="18"/>
      <c r="K19" s="18"/>
    </row>
    <row r="20" spans="2:11" s="19" customFormat="1" ht="15.6" x14ac:dyDescent="0.3">
      <c r="B20" s="14"/>
      <c r="C20" s="14"/>
      <c r="D20" s="20"/>
      <c r="E20" s="16"/>
      <c r="F20" s="17"/>
      <c r="G20" s="18"/>
      <c r="H20" s="18"/>
      <c r="I20" s="18"/>
      <c r="J20" s="18"/>
      <c r="K20" s="18"/>
    </row>
    <row r="21" spans="2:11" ht="31.2" x14ac:dyDescent="0.3">
      <c r="B21" s="21"/>
      <c r="C21" s="22"/>
      <c r="D21" s="23" t="s">
        <v>43</v>
      </c>
      <c r="E21" s="24"/>
      <c r="F21" s="25"/>
      <c r="G21" s="26">
        <f>SUM(G12:G20)</f>
        <v>22500</v>
      </c>
      <c r="H21" s="27"/>
      <c r="I21" s="27">
        <f>SUM(I12:I20)</f>
        <v>24000</v>
      </c>
      <c r="J21" s="27"/>
      <c r="K21" s="27">
        <f>SUM(K12:K20)</f>
        <v>24750</v>
      </c>
    </row>
    <row r="22" spans="2:11" ht="15.6" x14ac:dyDescent="0.3">
      <c r="B22" s="28"/>
      <c r="C22" s="29"/>
      <c r="D22" s="30"/>
      <c r="E22" s="30"/>
      <c r="F22" s="31"/>
      <c r="G22" s="32"/>
      <c r="H22" s="32"/>
      <c r="I22" s="32"/>
      <c r="J22" s="32"/>
      <c r="K22" s="32"/>
    </row>
    <row r="23" spans="2:11" ht="15.6" x14ac:dyDescent="0.3">
      <c r="B23" s="33" t="s">
        <v>10</v>
      </c>
      <c r="C23" s="34"/>
      <c r="D23" s="34"/>
      <c r="E23" s="34"/>
      <c r="F23" s="35"/>
      <c r="G23" s="35"/>
      <c r="H23" s="35"/>
      <c r="I23" s="35"/>
      <c r="J23" s="35"/>
      <c r="K23" s="35"/>
    </row>
    <row r="24" spans="2:11" ht="15.6" x14ac:dyDescent="0.3">
      <c r="B24" s="48" t="s">
        <v>44</v>
      </c>
      <c r="C24" s="48"/>
      <c r="D24" s="48"/>
      <c r="E24" s="48"/>
      <c r="F24" s="48"/>
      <c r="G24" s="48"/>
      <c r="H24" s="48"/>
      <c r="I24" s="48"/>
      <c r="J24" s="48"/>
      <c r="K24" s="48"/>
    </row>
    <row r="25" spans="2:11" ht="15.6" x14ac:dyDescent="0.3">
      <c r="B25" s="33" t="s">
        <v>11</v>
      </c>
      <c r="C25" s="36"/>
      <c r="D25" s="36"/>
      <c r="E25" s="36"/>
      <c r="F25" s="35"/>
      <c r="G25" s="35"/>
      <c r="H25" s="35"/>
      <c r="I25" s="35"/>
      <c r="J25" s="35"/>
      <c r="K25" s="35"/>
    </row>
    <row r="26" spans="2:11" ht="20.399999999999999" x14ac:dyDescent="0.35">
      <c r="B26" s="37"/>
      <c r="C26" s="1"/>
      <c r="D26" s="1"/>
      <c r="E26" s="1"/>
      <c r="F26" s="1"/>
      <c r="G26" s="1"/>
      <c r="H26" s="1"/>
      <c r="I26" s="1"/>
      <c r="J26" s="1"/>
      <c r="K26" s="1"/>
    </row>
    <row r="27" spans="2:11" ht="20.399999999999999" x14ac:dyDescent="0.35">
      <c r="B27" s="1"/>
      <c r="C27" s="1"/>
      <c r="D27" s="1"/>
      <c r="E27" s="1"/>
      <c r="F27" s="1"/>
      <c r="G27" s="1"/>
      <c r="H27" s="1"/>
      <c r="I27" s="1"/>
      <c r="J27" s="1"/>
      <c r="K27" s="1"/>
    </row>
    <row r="28" spans="2:11" ht="20.399999999999999" x14ac:dyDescent="0.35">
      <c r="B28" s="1"/>
      <c r="C28" s="1"/>
      <c r="D28" s="1"/>
      <c r="E28" s="1"/>
      <c r="F28" s="1"/>
    </row>
    <row r="29" spans="2:11" ht="21" x14ac:dyDescent="0.4">
      <c r="B29" s="38"/>
      <c r="C29" s="38"/>
      <c r="D29" s="38"/>
      <c r="E29" s="38"/>
      <c r="F29" s="1"/>
      <c r="G29" s="49"/>
      <c r="H29" s="49"/>
      <c r="I29" s="49"/>
      <c r="J29" s="49"/>
      <c r="K29" s="49"/>
    </row>
    <row r="30" spans="2:11" ht="20.399999999999999" x14ac:dyDescent="0.35">
      <c r="B30" s="1"/>
      <c r="C30" s="1"/>
      <c r="D30" s="1"/>
      <c r="E30" s="1"/>
      <c r="F30" s="1"/>
      <c r="G30" s="50"/>
      <c r="H30" s="50"/>
      <c r="I30" s="50"/>
      <c r="J30" s="50"/>
      <c r="K30" s="50"/>
    </row>
  </sheetData>
  <mergeCells count="11">
    <mergeCell ref="B24:K24"/>
    <mergeCell ref="G29:K29"/>
    <mergeCell ref="G30:K30"/>
    <mergeCell ref="B2:K2"/>
    <mergeCell ref="B3:K3"/>
    <mergeCell ref="B4:K4"/>
    <mergeCell ref="B7:K7"/>
    <mergeCell ref="B10:D10"/>
    <mergeCell ref="F10:G10"/>
    <mergeCell ref="H10:I10"/>
    <mergeCell ref="J10:K10"/>
  </mergeCells>
  <pageMargins left="0" right="0" top="0" bottom="0" header="0" footer="0"/>
  <pageSetup paperSize="9" scale="85" orientation="landscape" horizontalDpi="0" verticalDpi="0" r:id="rId1"/>
  <colBreaks count="1" manualBreakCount="1">
    <brk id="11"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04912-48E8-4AFB-B5B1-26CD46488A8D}">
  <dimension ref="B2:K35"/>
  <sheetViews>
    <sheetView topLeftCell="A7" zoomScaleNormal="100" workbookViewId="0">
      <selection activeCell="F21" sqref="F21"/>
    </sheetView>
  </sheetViews>
  <sheetFormatPr defaultColWidth="9" defaultRowHeight="14.4" x14ac:dyDescent="0.3"/>
  <cols>
    <col min="1" max="1" width="3.109375" customWidth="1"/>
    <col min="2" max="2" width="10.109375" customWidth="1"/>
    <col min="4" max="4" width="66.21875" customWidth="1"/>
    <col min="5" max="5" width="14.88671875" bestFit="1" customWidth="1"/>
    <col min="6" max="6" width="15.6640625" customWidth="1"/>
    <col min="7" max="7" width="16.44140625" customWidth="1"/>
    <col min="8" max="8" width="14.88671875" customWidth="1"/>
    <col min="9" max="9" width="13.77734375" customWidth="1"/>
    <col min="10" max="10" width="15.44140625" customWidth="1"/>
    <col min="11" max="11" width="17" customWidth="1"/>
  </cols>
  <sheetData>
    <row r="2" spans="2:11" ht="21" x14ac:dyDescent="0.3">
      <c r="B2" s="51"/>
      <c r="C2" s="51"/>
      <c r="D2" s="51"/>
      <c r="E2" s="51"/>
      <c r="F2" s="51"/>
      <c r="G2" s="51"/>
      <c r="H2" s="51"/>
      <c r="I2" s="51"/>
      <c r="J2" s="51"/>
      <c r="K2" s="51"/>
    </row>
    <row r="3" spans="2:11" ht="20.399999999999999" x14ac:dyDescent="0.3">
      <c r="B3" s="52"/>
      <c r="C3" s="52"/>
      <c r="D3" s="52"/>
      <c r="E3" s="52"/>
      <c r="F3" s="52"/>
      <c r="G3" s="52"/>
      <c r="H3" s="52"/>
      <c r="I3" s="52"/>
      <c r="J3" s="52"/>
      <c r="K3" s="52"/>
    </row>
    <row r="4" spans="2:11" ht="21" x14ac:dyDescent="0.3">
      <c r="B4" s="53"/>
      <c r="C4" s="53"/>
      <c r="D4" s="53"/>
      <c r="E4" s="53"/>
      <c r="F4" s="53"/>
      <c r="G4" s="53"/>
      <c r="H4" s="53"/>
      <c r="I4" s="53"/>
      <c r="J4" s="53"/>
      <c r="K4" s="53"/>
    </row>
    <row r="5" spans="2:11" ht="20.399999999999999" x14ac:dyDescent="0.35">
      <c r="B5" s="1"/>
      <c r="C5" s="1"/>
      <c r="D5" s="1"/>
      <c r="E5" s="1"/>
      <c r="F5" s="1"/>
      <c r="G5" s="1"/>
      <c r="H5" s="1"/>
      <c r="I5" s="1"/>
      <c r="J5" s="1"/>
      <c r="K5" s="1"/>
    </row>
    <row r="6" spans="2:11" ht="21" x14ac:dyDescent="0.4">
      <c r="B6" s="2"/>
      <c r="C6" s="2"/>
      <c r="D6" s="2"/>
      <c r="E6" s="2"/>
      <c r="F6" s="2"/>
      <c r="G6" s="2"/>
      <c r="H6" s="2"/>
      <c r="I6" s="2"/>
      <c r="J6" s="2"/>
      <c r="K6" s="2"/>
    </row>
    <row r="7" spans="2:11" ht="20.399999999999999" x14ac:dyDescent="0.35">
      <c r="B7" s="54" t="s">
        <v>0</v>
      </c>
      <c r="C7" s="54"/>
      <c r="D7" s="54"/>
      <c r="E7" s="54"/>
      <c r="F7" s="54"/>
      <c r="G7" s="54"/>
      <c r="H7" s="54"/>
      <c r="I7" s="54"/>
      <c r="J7" s="54"/>
      <c r="K7" s="54"/>
    </row>
    <row r="8" spans="2:11" ht="21" x14ac:dyDescent="0.4">
      <c r="B8" s="4" t="s">
        <v>1</v>
      </c>
      <c r="C8" s="3"/>
      <c r="D8" s="5" t="s">
        <v>48</v>
      </c>
      <c r="E8" s="3"/>
      <c r="F8" s="3"/>
      <c r="G8" s="3"/>
      <c r="H8" s="3"/>
      <c r="I8" s="3"/>
      <c r="J8" s="3"/>
      <c r="K8" s="3"/>
    </row>
    <row r="9" spans="2:11" ht="21" x14ac:dyDescent="0.4">
      <c r="B9" s="6" t="s">
        <v>2</v>
      </c>
      <c r="C9" s="7"/>
      <c r="D9" s="8" t="s">
        <v>12</v>
      </c>
      <c r="E9" s="2"/>
      <c r="F9" s="2"/>
      <c r="G9" s="2"/>
      <c r="H9" s="2"/>
      <c r="I9" s="2"/>
      <c r="J9" s="2"/>
      <c r="K9" s="2"/>
    </row>
    <row r="10" spans="2:11" ht="69" customHeight="1" x14ac:dyDescent="0.3">
      <c r="B10" s="55" t="s">
        <v>3</v>
      </c>
      <c r="C10" s="55"/>
      <c r="D10" s="55"/>
      <c r="E10" s="9" t="s">
        <v>4</v>
      </c>
      <c r="F10" s="56" t="s">
        <v>62</v>
      </c>
      <c r="G10" s="56"/>
      <c r="H10" s="56" t="s">
        <v>63</v>
      </c>
      <c r="I10" s="56"/>
      <c r="J10" s="56" t="s">
        <v>64</v>
      </c>
      <c r="K10" s="56"/>
    </row>
    <row r="11" spans="2:11" s="13" customFormat="1" ht="18" x14ac:dyDescent="0.35">
      <c r="B11" s="10" t="s">
        <v>5</v>
      </c>
      <c r="C11" s="10" t="s">
        <v>6</v>
      </c>
      <c r="D11" s="43" t="s">
        <v>7</v>
      </c>
      <c r="E11" s="41"/>
      <c r="F11" s="12" t="s">
        <v>8</v>
      </c>
      <c r="G11" s="12" t="s">
        <v>9</v>
      </c>
      <c r="H11" s="12" t="s">
        <v>8</v>
      </c>
      <c r="I11" s="12" t="s">
        <v>9</v>
      </c>
      <c r="J11" s="12" t="s">
        <v>8</v>
      </c>
      <c r="K11" s="12" t="s">
        <v>9</v>
      </c>
    </row>
    <row r="12" spans="2:11" s="19" customFormat="1" ht="15.6" x14ac:dyDescent="0.3">
      <c r="B12" s="14">
        <v>385</v>
      </c>
      <c r="C12" s="14" t="s">
        <v>61</v>
      </c>
      <c r="D12" s="44" t="s">
        <v>49</v>
      </c>
      <c r="E12" s="42">
        <v>48125</v>
      </c>
      <c r="F12" s="17">
        <v>125</v>
      </c>
      <c r="G12" s="18">
        <f>+F12*B12</f>
        <v>48125</v>
      </c>
      <c r="H12" s="18">
        <v>150</v>
      </c>
      <c r="I12" s="18">
        <f>+H12*B12</f>
        <v>57750</v>
      </c>
      <c r="J12" s="18">
        <v>175</v>
      </c>
      <c r="K12" s="18">
        <f>+J12*B12</f>
        <v>67375</v>
      </c>
    </row>
    <row r="13" spans="2:11" s="19" customFormat="1" ht="15.6" x14ac:dyDescent="0.3">
      <c r="B13" s="14"/>
      <c r="C13" s="14"/>
      <c r="D13" s="45" t="s">
        <v>50</v>
      </c>
      <c r="E13" s="42"/>
      <c r="F13" s="17"/>
      <c r="G13" s="18"/>
      <c r="H13" s="18"/>
      <c r="I13" s="18"/>
      <c r="J13" s="18"/>
      <c r="K13" s="18"/>
    </row>
    <row r="14" spans="2:11" s="19" customFormat="1" ht="15.6" x14ac:dyDescent="0.3">
      <c r="B14" s="14"/>
      <c r="C14" s="14"/>
      <c r="D14" s="45" t="s">
        <v>51</v>
      </c>
      <c r="E14" s="42"/>
      <c r="F14" s="17"/>
      <c r="G14" s="18"/>
      <c r="H14" s="18"/>
      <c r="I14" s="18"/>
      <c r="J14" s="18"/>
      <c r="K14" s="18"/>
    </row>
    <row r="15" spans="2:11" s="19" customFormat="1" ht="15.6" x14ac:dyDescent="0.3">
      <c r="B15" s="14"/>
      <c r="C15" s="14"/>
      <c r="D15" s="45" t="s">
        <v>52</v>
      </c>
      <c r="E15" s="42"/>
      <c r="F15" s="17"/>
      <c r="G15" s="18"/>
      <c r="H15" s="18"/>
      <c r="I15" s="18"/>
      <c r="J15" s="18"/>
      <c r="K15" s="18"/>
    </row>
    <row r="16" spans="2:11" s="19" customFormat="1" ht="15.6" x14ac:dyDescent="0.3">
      <c r="B16" s="14"/>
      <c r="C16" s="14"/>
      <c r="D16" s="45"/>
      <c r="E16" s="42"/>
      <c r="F16" s="17"/>
      <c r="G16" s="18"/>
      <c r="H16" s="18"/>
      <c r="I16" s="18"/>
      <c r="J16" s="18"/>
      <c r="K16" s="18"/>
    </row>
    <row r="17" spans="2:11" s="19" customFormat="1" ht="15.6" x14ac:dyDescent="0.3">
      <c r="B17" s="14"/>
      <c r="C17" s="14"/>
      <c r="D17" s="46" t="s">
        <v>53</v>
      </c>
      <c r="E17" s="42"/>
      <c r="F17" s="17"/>
      <c r="G17" s="18"/>
      <c r="H17" s="18"/>
      <c r="I17" s="18"/>
      <c r="J17" s="18"/>
      <c r="K17" s="18"/>
    </row>
    <row r="18" spans="2:11" s="19" customFormat="1" ht="15.6" x14ac:dyDescent="0.3">
      <c r="B18" s="14"/>
      <c r="C18" s="14"/>
      <c r="D18" s="45" t="s">
        <v>54</v>
      </c>
      <c r="E18" s="42"/>
      <c r="F18" s="17"/>
      <c r="G18" s="18"/>
      <c r="H18" s="18"/>
      <c r="I18" s="18"/>
      <c r="J18" s="18"/>
      <c r="K18" s="18"/>
    </row>
    <row r="19" spans="2:11" s="19" customFormat="1" ht="15.6" x14ac:dyDescent="0.3">
      <c r="B19" s="14"/>
      <c r="C19" s="14"/>
      <c r="D19" s="45" t="s">
        <v>55</v>
      </c>
      <c r="E19" s="42"/>
      <c r="F19" s="17"/>
      <c r="G19" s="18"/>
      <c r="H19" s="18"/>
      <c r="I19" s="18"/>
      <c r="J19" s="18"/>
      <c r="K19" s="18"/>
    </row>
    <row r="20" spans="2:11" s="19" customFormat="1" ht="15.6" x14ac:dyDescent="0.3">
      <c r="B20" s="14"/>
      <c r="C20" s="14"/>
      <c r="D20" s="45" t="s">
        <v>56</v>
      </c>
      <c r="E20" s="42"/>
      <c r="F20" s="17"/>
      <c r="G20" s="18"/>
      <c r="H20" s="18"/>
      <c r="I20" s="18"/>
      <c r="J20" s="18"/>
      <c r="K20" s="18"/>
    </row>
    <row r="21" spans="2:11" s="19" customFormat="1" ht="15.6" x14ac:dyDescent="0.3">
      <c r="B21" s="14"/>
      <c r="C21" s="14"/>
      <c r="D21" s="45" t="s">
        <v>57</v>
      </c>
      <c r="E21" s="42"/>
      <c r="F21" s="17"/>
      <c r="G21" s="18"/>
      <c r="H21" s="18"/>
      <c r="I21" s="18"/>
      <c r="J21" s="18"/>
      <c r="K21" s="18"/>
    </row>
    <row r="22" spans="2:11" s="19" customFormat="1" ht="15.6" x14ac:dyDescent="0.3">
      <c r="B22" s="14"/>
      <c r="C22" s="14"/>
      <c r="D22" s="45" t="s">
        <v>58</v>
      </c>
      <c r="E22" s="42"/>
      <c r="F22" s="17"/>
      <c r="G22" s="18"/>
      <c r="H22" s="18"/>
      <c r="I22" s="18"/>
      <c r="J22" s="18"/>
      <c r="K22" s="18"/>
    </row>
    <row r="23" spans="2:11" s="19" customFormat="1" ht="15.6" x14ac:dyDescent="0.3">
      <c r="B23" s="14"/>
      <c r="C23" s="14"/>
      <c r="D23" s="45" t="s">
        <v>59</v>
      </c>
      <c r="E23" s="42"/>
      <c r="F23" s="17"/>
      <c r="G23" s="18"/>
      <c r="H23" s="18"/>
      <c r="I23" s="18"/>
      <c r="J23" s="18"/>
      <c r="K23" s="18"/>
    </row>
    <row r="24" spans="2:11" s="19" customFormat="1" ht="15.6" x14ac:dyDescent="0.3">
      <c r="B24" s="14"/>
      <c r="C24" s="14"/>
      <c r="D24" s="45" t="s">
        <v>60</v>
      </c>
      <c r="E24" s="42"/>
      <c r="F24" s="17"/>
      <c r="G24" s="18"/>
      <c r="H24" s="18"/>
      <c r="I24" s="18"/>
      <c r="J24" s="18"/>
      <c r="K24" s="18"/>
    </row>
    <row r="25" spans="2:11" s="19" customFormat="1" ht="15.6" x14ac:dyDescent="0.3">
      <c r="B25" s="14"/>
      <c r="C25" s="14"/>
      <c r="D25" s="46"/>
      <c r="E25" s="42"/>
      <c r="F25" s="17"/>
      <c r="G25" s="18"/>
      <c r="H25" s="18"/>
      <c r="I25" s="18"/>
      <c r="J25" s="18"/>
      <c r="K25" s="18"/>
    </row>
    <row r="26" spans="2:11" ht="62.4" x14ac:dyDescent="0.3">
      <c r="B26" s="21"/>
      <c r="C26" s="22"/>
      <c r="D26" s="23" t="s">
        <v>66</v>
      </c>
      <c r="E26" s="24"/>
      <c r="F26" s="25"/>
      <c r="G26" s="26">
        <f>SUM(G12:G25)</f>
        <v>48125</v>
      </c>
      <c r="H26" s="27"/>
      <c r="I26" s="27">
        <f>SUM(I12:I25)</f>
        <v>57750</v>
      </c>
      <c r="J26" s="27"/>
      <c r="K26" s="27">
        <f>SUM(K12:K25)</f>
        <v>67375</v>
      </c>
    </row>
    <row r="27" spans="2:11" ht="15.6" x14ac:dyDescent="0.3">
      <c r="B27" s="28"/>
      <c r="C27" s="29"/>
      <c r="D27" s="30"/>
      <c r="E27" s="30"/>
      <c r="F27" s="31"/>
      <c r="G27" s="32"/>
      <c r="H27" s="32"/>
      <c r="I27" s="32"/>
      <c r="J27" s="32"/>
      <c r="K27" s="32"/>
    </row>
    <row r="28" spans="2:11" ht="15.6" x14ac:dyDescent="0.3">
      <c r="B28" s="33" t="s">
        <v>10</v>
      </c>
      <c r="C28" s="34"/>
      <c r="D28" s="34"/>
      <c r="E28" s="34"/>
      <c r="F28" s="35"/>
      <c r="G28" s="35"/>
      <c r="H28" s="35"/>
      <c r="I28" s="35"/>
      <c r="J28" s="35"/>
      <c r="K28" s="35"/>
    </row>
    <row r="29" spans="2:11" ht="15.6" x14ac:dyDescent="0.3">
      <c r="B29" s="48" t="s">
        <v>65</v>
      </c>
      <c r="C29" s="48"/>
      <c r="D29" s="48"/>
      <c r="E29" s="48"/>
      <c r="F29" s="48"/>
      <c r="G29" s="48"/>
      <c r="H29" s="48"/>
      <c r="I29" s="48"/>
      <c r="J29" s="48"/>
      <c r="K29" s="48"/>
    </row>
    <row r="30" spans="2:11" ht="15.6" x14ac:dyDescent="0.3">
      <c r="B30" s="33" t="s">
        <v>11</v>
      </c>
      <c r="C30" s="36"/>
      <c r="D30" s="36"/>
      <c r="E30" s="36"/>
      <c r="F30" s="35"/>
      <c r="G30" s="35"/>
      <c r="H30" s="35"/>
      <c r="I30" s="35"/>
      <c r="J30" s="35"/>
      <c r="K30" s="35"/>
    </row>
    <row r="31" spans="2:11" ht="20.399999999999999" x14ac:dyDescent="0.35">
      <c r="B31" s="37"/>
      <c r="C31" s="1"/>
      <c r="D31" s="1"/>
      <c r="E31" s="1"/>
      <c r="F31" s="1"/>
      <c r="G31" s="1"/>
      <c r="H31" s="1"/>
      <c r="I31" s="1"/>
      <c r="J31" s="1"/>
      <c r="K31" s="1"/>
    </row>
    <row r="32" spans="2:11" ht="20.399999999999999" x14ac:dyDescent="0.35">
      <c r="B32" s="1"/>
      <c r="C32" s="1"/>
      <c r="D32" s="1"/>
      <c r="E32" s="1"/>
      <c r="F32" s="1"/>
      <c r="G32" s="1"/>
      <c r="H32" s="1"/>
      <c r="I32" s="1"/>
      <c r="J32" s="1"/>
      <c r="K32" s="1"/>
    </row>
    <row r="33" spans="2:11" ht="20.399999999999999" x14ac:dyDescent="0.35">
      <c r="B33" s="1"/>
      <c r="C33" s="1"/>
      <c r="D33" s="1"/>
      <c r="E33" s="1"/>
      <c r="F33" s="1"/>
    </row>
    <row r="34" spans="2:11" ht="21" x14ac:dyDescent="0.4">
      <c r="B34" s="38"/>
      <c r="C34" s="38"/>
      <c r="D34" s="38"/>
      <c r="E34" s="38"/>
      <c r="F34" s="1"/>
      <c r="G34" s="49"/>
      <c r="H34" s="49"/>
      <c r="I34" s="49"/>
      <c r="J34" s="49"/>
      <c r="K34" s="49"/>
    </row>
    <row r="35" spans="2:11" ht="20.399999999999999" x14ac:dyDescent="0.35">
      <c r="B35" s="1"/>
      <c r="C35" s="1"/>
      <c r="D35" s="1"/>
      <c r="E35" s="1"/>
      <c r="F35" s="1"/>
      <c r="G35" s="50"/>
      <c r="H35" s="50"/>
      <c r="I35" s="50"/>
      <c r="J35" s="50"/>
      <c r="K35" s="50"/>
    </row>
  </sheetData>
  <mergeCells count="11">
    <mergeCell ref="B29:K29"/>
    <mergeCell ref="G34:K34"/>
    <mergeCell ref="G35:K35"/>
    <mergeCell ref="B2:K2"/>
    <mergeCell ref="B3:K3"/>
    <mergeCell ref="B4:K4"/>
    <mergeCell ref="B7:K7"/>
    <mergeCell ref="B10:D10"/>
    <mergeCell ref="F10:G10"/>
    <mergeCell ref="H10:I10"/>
    <mergeCell ref="J10:K10"/>
  </mergeCells>
  <pageMargins left="0" right="0" top="0" bottom="0" header="0" footer="0"/>
  <pageSetup paperSize="9" scale="74" orientation="landscape" horizontalDpi="0" verticalDpi="0" r:id="rId1"/>
  <rowBreaks count="1" manualBreakCount="1">
    <brk id="39" max="10" man="1"/>
  </rowBreaks>
  <colBreaks count="1" manualBreakCount="1">
    <brk id="11"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17038-3004-440C-B5FD-41C60D53B394}">
  <dimension ref="B2:K35"/>
  <sheetViews>
    <sheetView view="pageBreakPreview" zoomScale="60" zoomScaleNormal="100" workbookViewId="0">
      <selection activeCell="D26" sqref="D26"/>
    </sheetView>
  </sheetViews>
  <sheetFormatPr defaultColWidth="9" defaultRowHeight="14.4" x14ac:dyDescent="0.3"/>
  <cols>
    <col min="1" max="1" width="3.109375" customWidth="1"/>
    <col min="2" max="2" width="10.109375" customWidth="1"/>
    <col min="4" max="4" width="66.21875" customWidth="1"/>
    <col min="5" max="5" width="14.88671875" bestFit="1" customWidth="1"/>
    <col min="6" max="6" width="15.6640625" customWidth="1"/>
    <col min="7" max="7" width="16.44140625" customWidth="1"/>
    <col min="8" max="8" width="14.88671875" customWidth="1"/>
    <col min="9" max="9" width="13.77734375" customWidth="1"/>
    <col min="10" max="10" width="15.44140625" customWidth="1"/>
    <col min="11" max="11" width="17" customWidth="1"/>
  </cols>
  <sheetData>
    <row r="2" spans="2:11" ht="21" x14ac:dyDescent="0.3">
      <c r="B2" s="51"/>
      <c r="C2" s="51"/>
      <c r="D2" s="51"/>
      <c r="E2" s="51"/>
      <c r="F2" s="51"/>
      <c r="G2" s="51"/>
      <c r="H2" s="51"/>
      <c r="I2" s="51"/>
      <c r="J2" s="51"/>
      <c r="K2" s="51"/>
    </row>
    <row r="3" spans="2:11" ht="20.399999999999999" x14ac:dyDescent="0.3">
      <c r="B3" s="52"/>
      <c r="C3" s="52"/>
      <c r="D3" s="52"/>
      <c r="E3" s="52"/>
      <c r="F3" s="52"/>
      <c r="G3" s="52"/>
      <c r="H3" s="52"/>
      <c r="I3" s="52"/>
      <c r="J3" s="52"/>
      <c r="K3" s="52"/>
    </row>
    <row r="4" spans="2:11" ht="21" x14ac:dyDescent="0.3">
      <c r="B4" s="53"/>
      <c r="C4" s="53"/>
      <c r="D4" s="53"/>
      <c r="E4" s="53"/>
      <c r="F4" s="53"/>
      <c r="G4" s="53"/>
      <c r="H4" s="53"/>
      <c r="I4" s="53"/>
      <c r="J4" s="53"/>
      <c r="K4" s="53"/>
    </row>
    <row r="5" spans="2:11" ht="20.399999999999999" x14ac:dyDescent="0.35">
      <c r="B5" s="1"/>
      <c r="C5" s="1"/>
      <c r="D5" s="1"/>
      <c r="E5" s="1"/>
      <c r="F5" s="1"/>
      <c r="G5" s="1"/>
      <c r="H5" s="1"/>
      <c r="I5" s="1"/>
      <c r="J5" s="1"/>
      <c r="K5" s="1"/>
    </row>
    <row r="6" spans="2:11" ht="21" x14ac:dyDescent="0.4">
      <c r="B6" s="2"/>
      <c r="C6" s="2"/>
      <c r="D6" s="2"/>
      <c r="E6" s="2"/>
      <c r="F6" s="2"/>
      <c r="G6" s="2"/>
      <c r="H6" s="2"/>
      <c r="I6" s="2"/>
      <c r="J6" s="2"/>
      <c r="K6" s="2"/>
    </row>
    <row r="7" spans="2:11" ht="20.399999999999999" x14ac:dyDescent="0.35">
      <c r="B7" s="54" t="s">
        <v>0</v>
      </c>
      <c r="C7" s="54"/>
      <c r="D7" s="54"/>
      <c r="E7" s="54"/>
      <c r="F7" s="54"/>
      <c r="G7" s="54"/>
      <c r="H7" s="54"/>
      <c r="I7" s="54"/>
      <c r="J7" s="54"/>
      <c r="K7" s="54"/>
    </row>
    <row r="8" spans="2:11" ht="21" x14ac:dyDescent="0.4">
      <c r="B8" s="4" t="s">
        <v>1</v>
      </c>
      <c r="C8" s="3"/>
      <c r="D8" s="5" t="s">
        <v>67</v>
      </c>
      <c r="E8" s="3"/>
      <c r="F8" s="3"/>
      <c r="G8" s="3"/>
      <c r="H8" s="3"/>
      <c r="I8" s="3"/>
      <c r="J8" s="3"/>
      <c r="K8" s="3"/>
    </row>
    <row r="9" spans="2:11" ht="21" x14ac:dyDescent="0.4">
      <c r="B9" s="6" t="s">
        <v>2</v>
      </c>
      <c r="C9" s="7"/>
      <c r="D9" s="8" t="s">
        <v>12</v>
      </c>
      <c r="E9" s="2"/>
      <c r="F9" s="2"/>
      <c r="G9" s="2"/>
      <c r="H9" s="2"/>
      <c r="I9" s="2"/>
      <c r="J9" s="2"/>
      <c r="K9" s="2"/>
    </row>
    <row r="10" spans="2:11" ht="69" customHeight="1" x14ac:dyDescent="0.3">
      <c r="B10" s="55" t="s">
        <v>3</v>
      </c>
      <c r="C10" s="55"/>
      <c r="D10" s="55"/>
      <c r="E10" s="9" t="s">
        <v>4</v>
      </c>
      <c r="F10" s="56" t="s">
        <v>62</v>
      </c>
      <c r="G10" s="56"/>
      <c r="H10" s="56" t="s">
        <v>63</v>
      </c>
      <c r="I10" s="56"/>
      <c r="J10" s="56" t="s">
        <v>64</v>
      </c>
      <c r="K10" s="56"/>
    </row>
    <row r="11" spans="2:11" s="13" customFormat="1" ht="18" x14ac:dyDescent="0.35">
      <c r="B11" s="10" t="s">
        <v>5</v>
      </c>
      <c r="C11" s="10" t="s">
        <v>6</v>
      </c>
      <c r="D11" s="43" t="s">
        <v>7</v>
      </c>
      <c r="E11" s="41"/>
      <c r="F11" s="12" t="s">
        <v>8</v>
      </c>
      <c r="G11" s="12" t="s">
        <v>9</v>
      </c>
      <c r="H11" s="12" t="s">
        <v>8</v>
      </c>
      <c r="I11" s="12" t="s">
        <v>9</v>
      </c>
      <c r="J11" s="12" t="s">
        <v>8</v>
      </c>
      <c r="K11" s="12" t="s">
        <v>9</v>
      </c>
    </row>
    <row r="12" spans="2:11" s="19" customFormat="1" ht="15.6" x14ac:dyDescent="0.3">
      <c r="B12" s="14">
        <v>350</v>
      </c>
      <c r="C12" s="14" t="s">
        <v>61</v>
      </c>
      <c r="D12" s="44" t="s">
        <v>49</v>
      </c>
      <c r="E12" s="42">
        <v>43750</v>
      </c>
      <c r="F12" s="17">
        <v>125</v>
      </c>
      <c r="G12" s="18">
        <f>+F12*B12</f>
        <v>43750</v>
      </c>
      <c r="H12" s="18">
        <v>150</v>
      </c>
      <c r="I12" s="18">
        <f>+H12*B12</f>
        <v>52500</v>
      </c>
      <c r="J12" s="18">
        <v>175</v>
      </c>
      <c r="K12" s="18">
        <f>+J12*B12</f>
        <v>61250</v>
      </c>
    </row>
    <row r="13" spans="2:11" s="19" customFormat="1" ht="15.6" x14ac:dyDescent="0.3">
      <c r="B13" s="14"/>
      <c r="C13" s="14"/>
      <c r="D13" s="45" t="s">
        <v>50</v>
      </c>
      <c r="E13" s="42"/>
      <c r="F13" s="17"/>
      <c r="G13" s="18"/>
      <c r="H13" s="18"/>
      <c r="I13" s="18"/>
      <c r="J13" s="18"/>
      <c r="K13" s="18"/>
    </row>
    <row r="14" spans="2:11" s="19" customFormat="1" ht="15.6" x14ac:dyDescent="0.3">
      <c r="B14" s="14"/>
      <c r="C14" s="14"/>
      <c r="D14" s="45" t="s">
        <v>51</v>
      </c>
      <c r="E14" s="42"/>
      <c r="F14" s="17"/>
      <c r="G14" s="18"/>
      <c r="H14" s="18"/>
      <c r="I14" s="18"/>
      <c r="J14" s="18"/>
      <c r="K14" s="18"/>
    </row>
    <row r="15" spans="2:11" s="19" customFormat="1" ht="15.6" x14ac:dyDescent="0.3">
      <c r="B15" s="14"/>
      <c r="C15" s="14"/>
      <c r="D15" s="45" t="s">
        <v>52</v>
      </c>
      <c r="E15" s="42"/>
      <c r="F15" s="17"/>
      <c r="G15" s="18"/>
      <c r="H15" s="18"/>
      <c r="I15" s="18"/>
      <c r="J15" s="18"/>
      <c r="K15" s="18"/>
    </row>
    <row r="16" spans="2:11" s="19" customFormat="1" ht="15.6" x14ac:dyDescent="0.3">
      <c r="B16" s="14"/>
      <c r="C16" s="14"/>
      <c r="D16" s="45"/>
      <c r="E16" s="42"/>
      <c r="F16" s="17"/>
      <c r="G16" s="18"/>
      <c r="H16" s="18"/>
      <c r="I16" s="18"/>
      <c r="J16" s="18"/>
      <c r="K16" s="18"/>
    </row>
    <row r="17" spans="2:11" s="19" customFormat="1" ht="15.6" x14ac:dyDescent="0.3">
      <c r="B17" s="14"/>
      <c r="C17" s="14"/>
      <c r="D17" s="46"/>
      <c r="E17" s="42"/>
      <c r="F17" s="17"/>
      <c r="G17" s="18"/>
      <c r="H17" s="18"/>
      <c r="I17" s="18"/>
      <c r="J17" s="18"/>
      <c r="K17" s="18"/>
    </row>
    <row r="18" spans="2:11" s="19" customFormat="1" ht="15.6" x14ac:dyDescent="0.3">
      <c r="B18" s="14"/>
      <c r="C18" s="14"/>
      <c r="D18" s="45"/>
      <c r="E18" s="42"/>
      <c r="F18" s="17"/>
      <c r="G18" s="18"/>
      <c r="H18" s="18"/>
      <c r="I18" s="18"/>
      <c r="J18" s="18"/>
      <c r="K18" s="18"/>
    </row>
    <row r="19" spans="2:11" s="19" customFormat="1" ht="15.6" x14ac:dyDescent="0.3">
      <c r="B19" s="14"/>
      <c r="C19" s="14"/>
      <c r="D19" s="45"/>
      <c r="E19" s="42"/>
      <c r="F19" s="17"/>
      <c r="G19" s="18"/>
      <c r="H19" s="18"/>
      <c r="I19" s="18"/>
      <c r="J19" s="18"/>
      <c r="K19" s="18"/>
    </row>
    <row r="20" spans="2:11" s="19" customFormat="1" ht="15.6" x14ac:dyDescent="0.3">
      <c r="B20" s="14"/>
      <c r="C20" s="14"/>
      <c r="D20" s="45"/>
      <c r="E20" s="42"/>
      <c r="F20" s="17"/>
      <c r="G20" s="18"/>
      <c r="H20" s="18"/>
      <c r="I20" s="18"/>
      <c r="J20" s="18"/>
      <c r="K20" s="18"/>
    </row>
    <row r="21" spans="2:11" s="19" customFormat="1" ht="15.6" x14ac:dyDescent="0.3">
      <c r="B21" s="14"/>
      <c r="C21" s="14"/>
      <c r="D21" s="45"/>
      <c r="E21" s="42"/>
      <c r="F21" s="17"/>
      <c r="G21" s="18"/>
      <c r="H21" s="18"/>
      <c r="I21" s="18"/>
      <c r="J21" s="18"/>
      <c r="K21" s="18"/>
    </row>
    <row r="22" spans="2:11" s="19" customFormat="1" ht="15.6" x14ac:dyDescent="0.3">
      <c r="B22" s="14"/>
      <c r="C22" s="14"/>
      <c r="D22" s="45"/>
      <c r="E22" s="42"/>
      <c r="F22" s="17"/>
      <c r="G22" s="18"/>
      <c r="H22" s="18"/>
      <c r="I22" s="18"/>
      <c r="J22" s="18"/>
      <c r="K22" s="18"/>
    </row>
    <row r="23" spans="2:11" s="19" customFormat="1" ht="15.6" x14ac:dyDescent="0.3">
      <c r="B23" s="14"/>
      <c r="C23" s="14"/>
      <c r="D23" s="45"/>
      <c r="E23" s="42"/>
      <c r="F23" s="17"/>
      <c r="G23" s="18"/>
      <c r="H23" s="18"/>
      <c r="I23" s="18"/>
      <c r="J23" s="18"/>
      <c r="K23" s="18"/>
    </row>
    <row r="24" spans="2:11" s="19" customFormat="1" ht="15.6" x14ac:dyDescent="0.3">
      <c r="B24" s="14"/>
      <c r="C24" s="14"/>
      <c r="D24" s="45"/>
      <c r="E24" s="42"/>
      <c r="F24" s="17"/>
      <c r="G24" s="18"/>
      <c r="H24" s="18"/>
      <c r="I24" s="18"/>
      <c r="J24" s="18"/>
      <c r="K24" s="18"/>
    </row>
    <row r="25" spans="2:11" s="19" customFormat="1" ht="15.6" x14ac:dyDescent="0.3">
      <c r="B25" s="14"/>
      <c r="C25" s="14"/>
      <c r="D25" s="46"/>
      <c r="E25" s="42"/>
      <c r="F25" s="17"/>
      <c r="G25" s="18"/>
      <c r="H25" s="18"/>
      <c r="I25" s="18"/>
      <c r="J25" s="18"/>
      <c r="K25" s="18"/>
    </row>
    <row r="26" spans="2:11" ht="46.8" x14ac:dyDescent="0.3">
      <c r="B26" s="21"/>
      <c r="C26" s="22"/>
      <c r="D26" s="23" t="s">
        <v>47</v>
      </c>
      <c r="E26" s="24"/>
      <c r="F26" s="25"/>
      <c r="G26" s="26">
        <f>SUM(G12:G25)</f>
        <v>43750</v>
      </c>
      <c r="H26" s="27"/>
      <c r="I26" s="27">
        <f>SUM(I12:I25)</f>
        <v>52500</v>
      </c>
      <c r="J26" s="27"/>
      <c r="K26" s="27">
        <f>SUM(K12:K25)</f>
        <v>61250</v>
      </c>
    </row>
    <row r="27" spans="2:11" ht="15.6" x14ac:dyDescent="0.3">
      <c r="B27" s="28"/>
      <c r="C27" s="29"/>
      <c r="D27" s="30"/>
      <c r="E27" s="30"/>
      <c r="F27" s="31"/>
      <c r="G27" s="32"/>
      <c r="H27" s="32"/>
      <c r="I27" s="32"/>
      <c r="J27" s="32"/>
      <c r="K27" s="32"/>
    </row>
    <row r="28" spans="2:11" ht="15.6" x14ac:dyDescent="0.3">
      <c r="B28" s="33" t="s">
        <v>10</v>
      </c>
      <c r="C28" s="34"/>
      <c r="D28" s="34"/>
      <c r="E28" s="34"/>
      <c r="F28" s="35"/>
      <c r="G28" s="35"/>
      <c r="H28" s="35"/>
      <c r="I28" s="35"/>
      <c r="J28" s="35"/>
      <c r="K28" s="35"/>
    </row>
    <row r="29" spans="2:11" ht="15.6" x14ac:dyDescent="0.3">
      <c r="B29" s="48" t="s">
        <v>65</v>
      </c>
      <c r="C29" s="48"/>
      <c r="D29" s="48"/>
      <c r="E29" s="48"/>
      <c r="F29" s="48"/>
      <c r="G29" s="48"/>
      <c r="H29" s="48"/>
      <c r="I29" s="48"/>
      <c r="J29" s="48"/>
      <c r="K29" s="48"/>
    </row>
    <row r="30" spans="2:11" ht="15.6" x14ac:dyDescent="0.3">
      <c r="B30" s="33" t="s">
        <v>11</v>
      </c>
      <c r="C30" s="36"/>
      <c r="D30" s="36"/>
      <c r="E30" s="36"/>
      <c r="F30" s="35"/>
      <c r="G30" s="35"/>
      <c r="H30" s="35"/>
      <c r="I30" s="35"/>
      <c r="J30" s="35"/>
      <c r="K30" s="35"/>
    </row>
    <row r="31" spans="2:11" ht="20.399999999999999" x14ac:dyDescent="0.35">
      <c r="B31" s="37"/>
      <c r="C31" s="1"/>
      <c r="D31" s="1"/>
      <c r="E31" s="1"/>
      <c r="F31" s="1"/>
      <c r="G31" s="1"/>
      <c r="H31" s="1"/>
      <c r="I31" s="1"/>
      <c r="J31" s="1"/>
      <c r="K31" s="1"/>
    </row>
    <row r="32" spans="2:11" ht="20.399999999999999" x14ac:dyDescent="0.35">
      <c r="B32" s="1"/>
      <c r="C32" s="1"/>
      <c r="D32" s="1"/>
      <c r="E32" s="1"/>
      <c r="F32" s="1"/>
      <c r="G32" s="1"/>
      <c r="H32" s="1"/>
      <c r="I32" s="1"/>
      <c r="J32" s="1"/>
      <c r="K32" s="1"/>
    </row>
    <row r="33" spans="2:11" ht="20.399999999999999" x14ac:dyDescent="0.35">
      <c r="B33" s="1"/>
      <c r="C33" s="1"/>
      <c r="D33" s="1"/>
      <c r="E33" s="1"/>
      <c r="F33" s="1"/>
    </row>
    <row r="34" spans="2:11" ht="21" x14ac:dyDescent="0.4">
      <c r="B34" s="38"/>
      <c r="C34" s="38"/>
      <c r="D34" s="38"/>
      <c r="E34" s="38"/>
      <c r="F34" s="1"/>
      <c r="G34" s="49"/>
      <c r="H34" s="49"/>
      <c r="I34" s="49"/>
      <c r="J34" s="49"/>
      <c r="K34" s="49"/>
    </row>
    <row r="35" spans="2:11" ht="20.399999999999999" x14ac:dyDescent="0.35">
      <c r="B35" s="1"/>
      <c r="C35" s="1"/>
      <c r="D35" s="1"/>
      <c r="E35" s="1"/>
      <c r="F35" s="1"/>
      <c r="G35" s="50"/>
      <c r="H35" s="50"/>
      <c r="I35" s="50"/>
      <c r="J35" s="50"/>
      <c r="K35" s="50"/>
    </row>
  </sheetData>
  <mergeCells count="11">
    <mergeCell ref="B29:K29"/>
    <mergeCell ref="G34:K34"/>
    <mergeCell ref="G35:K35"/>
    <mergeCell ref="B2:K2"/>
    <mergeCell ref="B3:K3"/>
    <mergeCell ref="B4:K4"/>
    <mergeCell ref="B7:K7"/>
    <mergeCell ref="B10:D10"/>
    <mergeCell ref="F10:G10"/>
    <mergeCell ref="H10:I10"/>
    <mergeCell ref="J10:K10"/>
  </mergeCells>
  <pageMargins left="0" right="0" top="0" bottom="0" header="0" footer="0"/>
  <pageSetup paperSize="9" scale="74" orientation="landscape" horizontalDpi="0" verticalDpi="0" r:id="rId1"/>
  <colBreaks count="1" manualBreakCount="1">
    <brk id="11"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CFE0F-0C35-4662-BE1E-8CB7A5794359}">
  <dimension ref="B2:K30"/>
  <sheetViews>
    <sheetView topLeftCell="A11" zoomScaleNormal="100" workbookViewId="0">
      <selection activeCell="F13" sqref="F13"/>
    </sheetView>
  </sheetViews>
  <sheetFormatPr defaultColWidth="9" defaultRowHeight="14.4" x14ac:dyDescent="0.3"/>
  <cols>
    <col min="1" max="1" width="3.109375" customWidth="1"/>
    <col min="2" max="2" width="10.109375" customWidth="1"/>
    <col min="4" max="4" width="54.21875" customWidth="1"/>
    <col min="5" max="5" width="14.88671875" bestFit="1" customWidth="1"/>
    <col min="6" max="6" width="12.88671875" customWidth="1"/>
    <col min="7" max="7" width="14.33203125" bestFit="1" customWidth="1"/>
    <col min="8" max="8" width="12.77734375" customWidth="1"/>
    <col min="9" max="9" width="12.33203125" customWidth="1"/>
    <col min="10" max="10" width="13.6640625" customWidth="1"/>
    <col min="11" max="11" width="13.77734375" customWidth="1"/>
  </cols>
  <sheetData>
    <row r="2" spans="2:11" ht="21" x14ac:dyDescent="0.3">
      <c r="B2" s="51"/>
      <c r="C2" s="51"/>
      <c r="D2" s="51"/>
      <c r="E2" s="51"/>
      <c r="F2" s="51"/>
      <c r="G2" s="51"/>
      <c r="H2" s="51"/>
      <c r="I2" s="51"/>
      <c r="J2" s="51"/>
      <c r="K2" s="51"/>
    </row>
    <row r="3" spans="2:11" ht="20.399999999999999" x14ac:dyDescent="0.3">
      <c r="B3" s="52"/>
      <c r="C3" s="52"/>
      <c r="D3" s="52"/>
      <c r="E3" s="52"/>
      <c r="F3" s="52"/>
      <c r="G3" s="52"/>
      <c r="H3" s="52"/>
      <c r="I3" s="52"/>
      <c r="J3" s="52"/>
      <c r="K3" s="52"/>
    </row>
    <row r="4" spans="2:11" ht="21" x14ac:dyDescent="0.3">
      <c r="B4" s="53"/>
      <c r="C4" s="53"/>
      <c r="D4" s="53"/>
      <c r="E4" s="53"/>
      <c r="F4" s="53"/>
      <c r="G4" s="53"/>
      <c r="H4" s="53"/>
      <c r="I4" s="53"/>
      <c r="J4" s="53"/>
      <c r="K4" s="53"/>
    </row>
    <row r="5" spans="2:11" ht="20.399999999999999" x14ac:dyDescent="0.35">
      <c r="B5" s="1"/>
      <c r="C5" s="1"/>
      <c r="D5" s="1"/>
      <c r="E5" s="1"/>
      <c r="F5" s="1"/>
      <c r="G5" s="1"/>
      <c r="H5" s="1"/>
      <c r="I5" s="1"/>
      <c r="J5" s="1"/>
      <c r="K5" s="1"/>
    </row>
    <row r="6" spans="2:11" ht="21" x14ac:dyDescent="0.4">
      <c r="B6" s="2"/>
      <c r="C6" s="2"/>
      <c r="D6" s="2"/>
      <c r="E6" s="2"/>
      <c r="F6" s="2"/>
      <c r="G6" s="2"/>
      <c r="H6" s="2"/>
      <c r="I6" s="2"/>
      <c r="J6" s="2"/>
      <c r="K6" s="2"/>
    </row>
    <row r="7" spans="2:11" ht="20.399999999999999" x14ac:dyDescent="0.35">
      <c r="B7" s="54" t="s">
        <v>0</v>
      </c>
      <c r="C7" s="54"/>
      <c r="D7" s="54"/>
      <c r="E7" s="54"/>
      <c r="F7" s="54"/>
      <c r="G7" s="54"/>
      <c r="H7" s="54"/>
      <c r="I7" s="54"/>
      <c r="J7" s="54"/>
      <c r="K7" s="54"/>
    </row>
    <row r="8" spans="2:11" ht="21" x14ac:dyDescent="0.4">
      <c r="B8" s="4" t="s">
        <v>1</v>
      </c>
      <c r="C8" s="3"/>
      <c r="D8" s="5" t="s">
        <v>71</v>
      </c>
      <c r="E8" s="3"/>
      <c r="F8" s="3"/>
      <c r="G8" s="3"/>
      <c r="H8" s="3"/>
      <c r="I8" s="3"/>
      <c r="J8" s="3"/>
      <c r="K8" s="3"/>
    </row>
    <row r="9" spans="2:11" ht="21" x14ac:dyDescent="0.4">
      <c r="B9" s="6" t="s">
        <v>2</v>
      </c>
      <c r="C9" s="7"/>
      <c r="D9" s="8" t="s">
        <v>75</v>
      </c>
      <c r="E9" s="2"/>
      <c r="F9" s="2"/>
      <c r="G9" s="2"/>
      <c r="H9" s="2"/>
      <c r="I9" s="2"/>
      <c r="J9" s="2"/>
      <c r="K9" s="2"/>
    </row>
    <row r="10" spans="2:11" ht="69" customHeight="1" x14ac:dyDescent="0.3">
      <c r="B10" s="55" t="s">
        <v>3</v>
      </c>
      <c r="C10" s="55"/>
      <c r="D10" s="55"/>
      <c r="E10" s="9" t="s">
        <v>4</v>
      </c>
      <c r="F10" s="56" t="s">
        <v>72</v>
      </c>
      <c r="G10" s="56"/>
      <c r="H10" s="56" t="s">
        <v>73</v>
      </c>
      <c r="I10" s="56"/>
      <c r="J10" s="56" t="s">
        <v>73</v>
      </c>
      <c r="K10" s="56"/>
    </row>
    <row r="11" spans="2:11" s="13" customFormat="1" ht="18" x14ac:dyDescent="0.35">
      <c r="B11" s="10" t="s">
        <v>5</v>
      </c>
      <c r="C11" s="10" t="s">
        <v>6</v>
      </c>
      <c r="D11" s="43" t="s">
        <v>7</v>
      </c>
      <c r="E11" s="41"/>
      <c r="F11" s="57" t="s">
        <v>88</v>
      </c>
      <c r="G11" s="58"/>
      <c r="H11" s="57" t="s">
        <v>88</v>
      </c>
      <c r="I11" s="58"/>
      <c r="J11" s="57" t="s">
        <v>88</v>
      </c>
      <c r="K11" s="58"/>
    </row>
    <row r="12" spans="2:11" s="19" customFormat="1" ht="15.6" x14ac:dyDescent="0.3">
      <c r="B12" s="14">
        <v>3</v>
      </c>
      <c r="C12" s="14" t="s">
        <v>61</v>
      </c>
      <c r="D12" s="44" t="s">
        <v>68</v>
      </c>
      <c r="E12" s="42">
        <v>647000</v>
      </c>
      <c r="F12" s="59">
        <v>571831.93000000005</v>
      </c>
      <c r="G12" s="60"/>
      <c r="H12" s="18"/>
      <c r="I12" s="18"/>
      <c r="J12" s="18"/>
      <c r="K12" s="18"/>
    </row>
    <row r="13" spans="2:11" s="19" customFormat="1" ht="15.6" x14ac:dyDescent="0.3">
      <c r="B13" s="14"/>
      <c r="C13" s="14"/>
      <c r="D13" s="45" t="s">
        <v>69</v>
      </c>
      <c r="E13" s="42"/>
      <c r="F13" s="17"/>
      <c r="G13" s="18"/>
      <c r="H13" s="18"/>
      <c r="I13" s="18"/>
      <c r="J13" s="18"/>
      <c r="K13" s="18"/>
    </row>
    <row r="14" spans="2:11" s="19" customFormat="1" ht="15.6" x14ac:dyDescent="0.3">
      <c r="B14" s="14"/>
      <c r="C14" s="14"/>
      <c r="D14" s="45"/>
      <c r="E14" s="42"/>
      <c r="F14" s="17"/>
      <c r="G14" s="18"/>
      <c r="H14" s="18"/>
      <c r="I14" s="18"/>
      <c r="J14" s="18"/>
      <c r="K14" s="18"/>
    </row>
    <row r="15" spans="2:11" s="19" customFormat="1" ht="15.6" x14ac:dyDescent="0.3">
      <c r="B15" s="14"/>
      <c r="C15" s="14"/>
      <c r="D15" s="45"/>
      <c r="E15" s="42"/>
      <c r="F15" s="17"/>
      <c r="G15" s="18"/>
      <c r="H15" s="18"/>
      <c r="I15" s="18"/>
      <c r="J15" s="18"/>
      <c r="K15" s="18"/>
    </row>
    <row r="16" spans="2:11" s="19" customFormat="1" ht="15.6" x14ac:dyDescent="0.3">
      <c r="B16" s="14"/>
      <c r="C16" s="14"/>
      <c r="D16" s="45"/>
      <c r="E16" s="16"/>
      <c r="F16" s="17"/>
      <c r="G16" s="18"/>
      <c r="H16" s="18"/>
      <c r="I16" s="18"/>
      <c r="J16" s="18"/>
      <c r="K16" s="18"/>
    </row>
    <row r="17" spans="2:11" s="19" customFormat="1" ht="15.6" x14ac:dyDescent="0.3">
      <c r="B17" s="14"/>
      <c r="C17" s="14"/>
      <c r="D17" s="40"/>
      <c r="E17" s="16"/>
      <c r="F17" s="17"/>
      <c r="G17" s="18"/>
      <c r="H17" s="18"/>
      <c r="I17" s="18"/>
      <c r="J17" s="18"/>
      <c r="K17" s="18"/>
    </row>
    <row r="18" spans="2:11" s="19" customFormat="1" ht="15.6" x14ac:dyDescent="0.3">
      <c r="B18" s="14"/>
      <c r="C18" s="14"/>
      <c r="D18" s="15"/>
      <c r="E18" s="16"/>
      <c r="F18" s="17"/>
      <c r="G18" s="18"/>
      <c r="H18" s="18"/>
      <c r="I18" s="18"/>
      <c r="J18" s="18"/>
      <c r="K18" s="18"/>
    </row>
    <row r="19" spans="2:11" s="19" customFormat="1" ht="15.6" x14ac:dyDescent="0.3">
      <c r="B19" s="14"/>
      <c r="C19" s="14"/>
      <c r="D19" s="15"/>
      <c r="E19" s="16"/>
      <c r="F19" s="17"/>
      <c r="G19" s="18"/>
      <c r="H19" s="18"/>
      <c r="I19" s="18"/>
      <c r="J19" s="18"/>
      <c r="K19" s="18"/>
    </row>
    <row r="20" spans="2:11" s="19" customFormat="1" ht="15.6" x14ac:dyDescent="0.3">
      <c r="B20" s="14"/>
      <c r="C20" s="14"/>
      <c r="D20" s="20"/>
      <c r="E20" s="16"/>
      <c r="F20" s="17"/>
      <c r="G20" s="18"/>
      <c r="H20" s="18"/>
      <c r="I20" s="18"/>
      <c r="J20" s="18"/>
      <c r="K20" s="18"/>
    </row>
    <row r="21" spans="2:11" ht="31.2" x14ac:dyDescent="0.3">
      <c r="B21" s="21"/>
      <c r="C21" s="22"/>
      <c r="D21" s="23" t="s">
        <v>70</v>
      </c>
      <c r="E21" s="24"/>
      <c r="F21" s="25"/>
      <c r="G21" s="26">
        <f>SUM(G12:G20)</f>
        <v>0</v>
      </c>
      <c r="H21" s="27"/>
      <c r="I21" s="27">
        <f>SUM(I12:I20)</f>
        <v>0</v>
      </c>
      <c r="J21" s="27"/>
      <c r="K21" s="27">
        <f>SUM(K12:K20)</f>
        <v>0</v>
      </c>
    </row>
    <row r="22" spans="2:11" ht="15.6" x14ac:dyDescent="0.3">
      <c r="B22" s="28"/>
      <c r="C22" s="29"/>
      <c r="D22" s="30"/>
      <c r="E22" s="30"/>
      <c r="F22" s="31"/>
      <c r="G22" s="32"/>
      <c r="H22" s="32"/>
      <c r="I22" s="32"/>
      <c r="J22" s="32"/>
      <c r="K22" s="32"/>
    </row>
    <row r="23" spans="2:11" ht="15.6" x14ac:dyDescent="0.3">
      <c r="B23" s="33" t="s">
        <v>10</v>
      </c>
      <c r="C23" s="34"/>
      <c r="D23" s="34"/>
      <c r="E23" s="34"/>
      <c r="F23" s="35"/>
      <c r="G23" s="35"/>
      <c r="H23" s="35"/>
      <c r="I23" s="35"/>
      <c r="J23" s="35"/>
      <c r="K23" s="35"/>
    </row>
    <row r="24" spans="2:11" ht="15.6" x14ac:dyDescent="0.3">
      <c r="B24" s="48" t="s">
        <v>74</v>
      </c>
      <c r="C24" s="48"/>
      <c r="D24" s="48"/>
      <c r="E24" s="48"/>
      <c r="F24" s="48"/>
      <c r="G24" s="48"/>
      <c r="H24" s="48"/>
      <c r="I24" s="48"/>
      <c r="J24" s="48"/>
      <c r="K24" s="48"/>
    </row>
    <row r="25" spans="2:11" ht="15.6" x14ac:dyDescent="0.3">
      <c r="B25" s="33" t="s">
        <v>11</v>
      </c>
      <c r="C25" s="36"/>
      <c r="D25" s="36"/>
      <c r="E25" s="36"/>
      <c r="F25" s="35"/>
      <c r="G25" s="35"/>
      <c r="H25" s="35"/>
      <c r="I25" s="35"/>
      <c r="J25" s="35"/>
      <c r="K25" s="35"/>
    </row>
    <row r="26" spans="2:11" ht="20.399999999999999" x14ac:dyDescent="0.35">
      <c r="B26" s="37"/>
      <c r="C26" s="1"/>
      <c r="D26" s="1"/>
      <c r="E26" s="1"/>
      <c r="F26" s="1"/>
      <c r="G26" s="1"/>
      <c r="H26" s="1"/>
      <c r="I26" s="1"/>
      <c r="J26" s="1"/>
      <c r="K26" s="1"/>
    </row>
    <row r="27" spans="2:11" ht="20.399999999999999" x14ac:dyDescent="0.35">
      <c r="B27" s="1"/>
      <c r="C27" s="1"/>
      <c r="D27" s="1"/>
      <c r="E27" s="1"/>
      <c r="F27" s="1"/>
      <c r="G27" s="1"/>
      <c r="H27" s="1"/>
      <c r="I27" s="1"/>
      <c r="J27" s="1"/>
      <c r="K27" s="1"/>
    </row>
    <row r="28" spans="2:11" ht="20.399999999999999" x14ac:dyDescent="0.35">
      <c r="B28" s="1"/>
      <c r="C28" s="1"/>
      <c r="D28" s="1"/>
      <c r="E28" s="1"/>
      <c r="F28" s="1"/>
    </row>
    <row r="29" spans="2:11" ht="21" x14ac:dyDescent="0.4">
      <c r="B29" s="38"/>
      <c r="C29" s="38"/>
      <c r="D29" s="38"/>
      <c r="E29" s="38"/>
      <c r="F29" s="1"/>
      <c r="G29" s="49"/>
      <c r="H29" s="49"/>
      <c r="I29" s="49"/>
      <c r="J29" s="49"/>
      <c r="K29" s="49"/>
    </row>
    <row r="30" spans="2:11" ht="20.399999999999999" x14ac:dyDescent="0.35">
      <c r="B30" s="1"/>
      <c r="C30" s="1"/>
      <c r="D30" s="1"/>
      <c r="E30" s="1"/>
      <c r="F30" s="1"/>
      <c r="G30" s="50"/>
      <c r="H30" s="50"/>
      <c r="I30" s="50"/>
      <c r="J30" s="50"/>
      <c r="K30" s="50"/>
    </row>
  </sheetData>
  <mergeCells count="15">
    <mergeCell ref="B24:K24"/>
    <mergeCell ref="G29:K29"/>
    <mergeCell ref="G30:K30"/>
    <mergeCell ref="B2:K2"/>
    <mergeCell ref="B3:K3"/>
    <mergeCell ref="B4:K4"/>
    <mergeCell ref="B7:K7"/>
    <mergeCell ref="B10:D10"/>
    <mergeCell ref="F10:G10"/>
    <mergeCell ref="H10:I10"/>
    <mergeCell ref="J10:K10"/>
    <mergeCell ref="F11:G11"/>
    <mergeCell ref="H11:I11"/>
    <mergeCell ref="J11:K11"/>
    <mergeCell ref="F12:G12"/>
  </mergeCells>
  <pageMargins left="0" right="0" top="0" bottom="0" header="0" footer="0"/>
  <pageSetup paperSize="9" scale="85" orientation="landscape" horizontalDpi="0" verticalDpi="0" r:id="rId1"/>
  <colBreaks count="1" manualBreakCount="1">
    <brk id="11" max="104857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5F519-B1D7-4672-A991-6A56F29075D4}">
  <dimension ref="B2:K30"/>
  <sheetViews>
    <sheetView topLeftCell="A10" zoomScaleNormal="100" workbookViewId="0">
      <selection activeCell="D15" sqref="D15"/>
    </sheetView>
  </sheetViews>
  <sheetFormatPr defaultColWidth="9" defaultRowHeight="14.4" x14ac:dyDescent="0.3"/>
  <cols>
    <col min="1" max="1" width="3.109375" customWidth="1"/>
    <col min="2" max="2" width="10.109375" customWidth="1"/>
    <col min="4" max="4" width="54.21875" customWidth="1"/>
    <col min="5" max="5" width="14.88671875" bestFit="1" customWidth="1"/>
    <col min="6" max="6" width="12.88671875" customWidth="1"/>
    <col min="7" max="7" width="14.33203125" bestFit="1" customWidth="1"/>
    <col min="8" max="8" width="12.77734375" customWidth="1"/>
    <col min="9" max="9" width="14.33203125" bestFit="1" customWidth="1"/>
    <col min="10" max="10" width="13.6640625" customWidth="1"/>
    <col min="11" max="11" width="13.77734375" customWidth="1"/>
  </cols>
  <sheetData>
    <row r="2" spans="2:11" ht="21" x14ac:dyDescent="0.3">
      <c r="B2" s="51"/>
      <c r="C2" s="51"/>
      <c r="D2" s="51"/>
      <c r="E2" s="51"/>
      <c r="F2" s="51"/>
      <c r="G2" s="51"/>
      <c r="H2" s="51"/>
      <c r="I2" s="51"/>
      <c r="J2" s="51"/>
      <c r="K2" s="51"/>
    </row>
    <row r="3" spans="2:11" ht="20.399999999999999" x14ac:dyDescent="0.3">
      <c r="B3" s="52"/>
      <c r="C3" s="52"/>
      <c r="D3" s="52"/>
      <c r="E3" s="52"/>
      <c r="F3" s="52"/>
      <c r="G3" s="52"/>
      <c r="H3" s="52"/>
      <c r="I3" s="52"/>
      <c r="J3" s="52"/>
      <c r="K3" s="52"/>
    </row>
    <row r="4" spans="2:11" ht="21" x14ac:dyDescent="0.3">
      <c r="B4" s="53"/>
      <c r="C4" s="53"/>
      <c r="D4" s="53"/>
      <c r="E4" s="53"/>
      <c r="F4" s="53"/>
      <c r="G4" s="53"/>
      <c r="H4" s="53"/>
      <c r="I4" s="53"/>
      <c r="J4" s="53"/>
      <c r="K4" s="53"/>
    </row>
    <row r="5" spans="2:11" ht="20.399999999999999" x14ac:dyDescent="0.35">
      <c r="B5" s="1"/>
      <c r="C5" s="1"/>
      <c r="D5" s="1"/>
      <c r="E5" s="1"/>
      <c r="F5" s="1"/>
      <c r="G5" s="1"/>
      <c r="H5" s="1"/>
      <c r="I5" s="1"/>
      <c r="J5" s="1"/>
      <c r="K5" s="1"/>
    </row>
    <row r="6" spans="2:11" ht="21" x14ac:dyDescent="0.4">
      <c r="B6" s="2"/>
      <c r="C6" s="2"/>
      <c r="D6" s="2"/>
      <c r="E6" s="2"/>
      <c r="F6" s="2"/>
      <c r="G6" s="2"/>
      <c r="H6" s="2"/>
      <c r="I6" s="2"/>
      <c r="J6" s="2"/>
      <c r="K6" s="2"/>
    </row>
    <row r="7" spans="2:11" ht="20.399999999999999" x14ac:dyDescent="0.35">
      <c r="B7" s="54" t="s">
        <v>0</v>
      </c>
      <c r="C7" s="54"/>
      <c r="D7" s="54"/>
      <c r="E7" s="54"/>
      <c r="F7" s="54"/>
      <c r="G7" s="54"/>
      <c r="H7" s="54"/>
      <c r="I7" s="54"/>
      <c r="J7" s="54"/>
      <c r="K7" s="54"/>
    </row>
    <row r="8" spans="2:11" ht="21" x14ac:dyDescent="0.4">
      <c r="B8" s="4" t="s">
        <v>1</v>
      </c>
      <c r="C8" s="3"/>
      <c r="D8" s="5" t="s">
        <v>76</v>
      </c>
      <c r="E8" s="3"/>
      <c r="F8" s="3"/>
      <c r="G8" s="3"/>
      <c r="H8" s="3"/>
      <c r="I8" s="3"/>
      <c r="J8" s="3"/>
      <c r="K8" s="3"/>
    </row>
    <row r="9" spans="2:11" ht="21" x14ac:dyDescent="0.4">
      <c r="B9" s="6" t="s">
        <v>2</v>
      </c>
      <c r="C9" s="7"/>
      <c r="D9" s="8" t="s">
        <v>75</v>
      </c>
      <c r="E9" s="2"/>
      <c r="F9" s="2"/>
      <c r="G9" s="2"/>
      <c r="H9" s="2"/>
      <c r="I9" s="2"/>
      <c r="J9" s="2"/>
      <c r="K9" s="2"/>
    </row>
    <row r="10" spans="2:11" ht="69" customHeight="1" x14ac:dyDescent="0.3">
      <c r="B10" s="55" t="s">
        <v>3</v>
      </c>
      <c r="C10" s="55"/>
      <c r="D10" s="55"/>
      <c r="E10" s="9" t="s">
        <v>4</v>
      </c>
      <c r="F10" s="56" t="s">
        <v>86</v>
      </c>
      <c r="G10" s="56"/>
      <c r="H10" s="56" t="s">
        <v>87</v>
      </c>
      <c r="I10" s="56"/>
      <c r="J10" s="56" t="s">
        <v>73</v>
      </c>
      <c r="K10" s="56"/>
    </row>
    <row r="11" spans="2:11" s="13" customFormat="1" ht="18" x14ac:dyDescent="0.35">
      <c r="B11" s="10" t="s">
        <v>5</v>
      </c>
      <c r="C11" s="10" t="s">
        <v>6</v>
      </c>
      <c r="D11" s="43" t="s">
        <v>7</v>
      </c>
      <c r="E11" s="41"/>
      <c r="F11" s="57" t="s">
        <v>88</v>
      </c>
      <c r="G11" s="58"/>
      <c r="H11" s="57" t="s">
        <v>88</v>
      </c>
      <c r="I11" s="58"/>
      <c r="J11" s="57" t="s">
        <v>88</v>
      </c>
      <c r="K11" s="58"/>
    </row>
    <row r="12" spans="2:11" s="19" customFormat="1" ht="15.6" x14ac:dyDescent="0.3">
      <c r="B12" s="14">
        <v>4</v>
      </c>
      <c r="C12" s="14" t="s">
        <v>61</v>
      </c>
      <c r="D12" s="44" t="s">
        <v>77</v>
      </c>
      <c r="E12" s="42">
        <v>1066000</v>
      </c>
      <c r="F12" s="59">
        <v>993045.73</v>
      </c>
      <c r="G12" s="60"/>
      <c r="H12" s="61">
        <v>1055335.3</v>
      </c>
      <c r="I12" s="62"/>
      <c r="J12" s="59"/>
      <c r="K12" s="60"/>
    </row>
    <row r="13" spans="2:11" s="19" customFormat="1" ht="28.2" customHeight="1" x14ac:dyDescent="0.3">
      <c r="B13" s="14"/>
      <c r="C13" s="14"/>
      <c r="D13" s="45" t="s">
        <v>69</v>
      </c>
      <c r="E13" s="42"/>
      <c r="F13" s="63" t="s">
        <v>89</v>
      </c>
      <c r="G13" s="64"/>
      <c r="H13" s="18"/>
      <c r="I13" s="18"/>
      <c r="J13" s="18"/>
      <c r="K13" s="18"/>
    </row>
    <row r="14" spans="2:11" s="19" customFormat="1" ht="15.6" x14ac:dyDescent="0.3">
      <c r="B14" s="14"/>
      <c r="C14" s="14"/>
      <c r="D14" s="45"/>
      <c r="E14" s="42"/>
      <c r="F14" s="17"/>
      <c r="G14" s="18"/>
      <c r="H14" s="18"/>
      <c r="I14" s="18"/>
      <c r="J14" s="18"/>
      <c r="K14" s="18"/>
    </row>
    <row r="15" spans="2:11" s="19" customFormat="1" ht="15.6" x14ac:dyDescent="0.3">
      <c r="B15" s="14"/>
      <c r="C15" s="14"/>
      <c r="D15" s="45"/>
      <c r="E15" s="42"/>
      <c r="F15" s="17"/>
      <c r="G15" s="18"/>
      <c r="H15" s="18"/>
      <c r="I15" s="18"/>
      <c r="J15" s="18"/>
      <c r="K15" s="18"/>
    </row>
    <row r="16" spans="2:11" s="19" customFormat="1" ht="15.6" x14ac:dyDescent="0.3">
      <c r="B16" s="14"/>
      <c r="C16" s="14"/>
      <c r="D16" s="45"/>
      <c r="E16" s="16"/>
      <c r="F16" s="17"/>
      <c r="G16" s="18"/>
      <c r="H16" s="18"/>
      <c r="I16" s="18"/>
      <c r="J16" s="18"/>
      <c r="K16" s="18"/>
    </row>
    <row r="17" spans="2:11" s="19" customFormat="1" ht="15.6" x14ac:dyDescent="0.3">
      <c r="B17" s="14"/>
      <c r="C17" s="14"/>
      <c r="D17" s="40"/>
      <c r="E17" s="16"/>
      <c r="F17" s="17"/>
      <c r="G17" s="18"/>
      <c r="H17" s="18"/>
      <c r="I17" s="18"/>
      <c r="J17" s="18"/>
      <c r="K17" s="18"/>
    </row>
    <row r="18" spans="2:11" s="19" customFormat="1" ht="15.6" x14ac:dyDescent="0.3">
      <c r="B18" s="14"/>
      <c r="C18" s="14"/>
      <c r="D18" s="15"/>
      <c r="E18" s="16"/>
      <c r="F18" s="17"/>
      <c r="G18" s="18"/>
      <c r="H18" s="18"/>
      <c r="I18" s="18"/>
      <c r="J18" s="18"/>
      <c r="K18" s="18"/>
    </row>
    <row r="19" spans="2:11" s="19" customFormat="1" ht="15.6" x14ac:dyDescent="0.3">
      <c r="B19" s="14"/>
      <c r="C19" s="14"/>
      <c r="D19" s="15"/>
      <c r="E19" s="16"/>
      <c r="F19" s="17"/>
      <c r="G19" s="18"/>
      <c r="H19" s="18"/>
      <c r="I19" s="18"/>
      <c r="J19" s="18"/>
      <c r="K19" s="18"/>
    </row>
    <row r="20" spans="2:11" s="19" customFormat="1" ht="15.6" x14ac:dyDescent="0.3">
      <c r="B20" s="14"/>
      <c r="C20" s="14"/>
      <c r="D20" s="20"/>
      <c r="E20" s="16"/>
      <c r="F20" s="17"/>
      <c r="G20" s="18"/>
      <c r="H20" s="18"/>
      <c r="I20" s="18"/>
      <c r="J20" s="18"/>
      <c r="K20" s="18"/>
    </row>
    <row r="21" spans="2:11" ht="31.2" x14ac:dyDescent="0.3">
      <c r="B21" s="21"/>
      <c r="C21" s="22"/>
      <c r="D21" s="23" t="s">
        <v>78</v>
      </c>
      <c r="E21" s="24"/>
      <c r="F21" s="25"/>
      <c r="G21" s="27">
        <f>+F12</f>
        <v>993045.73</v>
      </c>
      <c r="H21" s="27"/>
      <c r="I21" s="26">
        <f>+H12</f>
        <v>1055335.3</v>
      </c>
      <c r="J21" s="27"/>
      <c r="K21" s="27">
        <f>SUM(K12:K20)</f>
        <v>0</v>
      </c>
    </row>
    <row r="22" spans="2:11" ht="15.6" x14ac:dyDescent="0.3">
      <c r="B22" s="28"/>
      <c r="C22" s="29"/>
      <c r="D22" s="30"/>
      <c r="E22" s="30"/>
      <c r="F22" s="31"/>
      <c r="G22" s="32"/>
      <c r="H22" s="32"/>
      <c r="I22" s="32"/>
      <c r="J22" s="32"/>
      <c r="K22" s="32"/>
    </row>
    <row r="23" spans="2:11" ht="15.6" x14ac:dyDescent="0.3">
      <c r="B23" s="33" t="s">
        <v>10</v>
      </c>
      <c r="C23" s="34"/>
      <c r="D23" s="34"/>
      <c r="E23" s="34"/>
      <c r="F23" s="35"/>
      <c r="G23" s="35"/>
      <c r="H23" s="35"/>
      <c r="I23" s="35"/>
      <c r="J23" s="35"/>
      <c r="K23" s="35"/>
    </row>
    <row r="24" spans="2:11" ht="15.6" x14ac:dyDescent="0.3">
      <c r="B24" s="48" t="s">
        <v>90</v>
      </c>
      <c r="C24" s="48"/>
      <c r="D24" s="48"/>
      <c r="E24" s="48"/>
      <c r="F24" s="48"/>
      <c r="G24" s="48"/>
      <c r="H24" s="48"/>
      <c r="I24" s="48"/>
      <c r="J24" s="48"/>
      <c r="K24" s="48"/>
    </row>
    <row r="25" spans="2:11" ht="15.6" x14ac:dyDescent="0.3">
      <c r="B25" s="33" t="s">
        <v>11</v>
      </c>
      <c r="C25" s="36"/>
      <c r="D25" s="36"/>
      <c r="E25" s="36"/>
      <c r="F25" s="35"/>
      <c r="G25" s="35"/>
      <c r="H25" s="35"/>
      <c r="I25" s="35"/>
      <c r="J25" s="35"/>
      <c r="K25" s="35"/>
    </row>
    <row r="26" spans="2:11" ht="20.399999999999999" x14ac:dyDescent="0.35">
      <c r="B26" s="37"/>
      <c r="C26" s="1"/>
      <c r="D26" s="1"/>
      <c r="E26" s="1"/>
      <c r="F26" s="1"/>
      <c r="G26" s="1"/>
      <c r="H26" s="1"/>
      <c r="I26" s="1"/>
      <c r="J26" s="1"/>
      <c r="K26" s="1"/>
    </row>
    <row r="27" spans="2:11" ht="20.399999999999999" x14ac:dyDescent="0.35">
      <c r="B27" s="1"/>
      <c r="C27" s="1"/>
      <c r="D27" s="1"/>
      <c r="E27" s="1"/>
      <c r="F27" s="1"/>
      <c r="G27" s="1"/>
      <c r="H27" s="1"/>
      <c r="I27" s="1"/>
      <c r="J27" s="1"/>
      <c r="K27" s="1"/>
    </row>
    <row r="28" spans="2:11" ht="20.399999999999999" x14ac:dyDescent="0.35">
      <c r="B28" s="1"/>
      <c r="C28" s="1"/>
      <c r="D28" s="1"/>
      <c r="E28" s="1"/>
      <c r="F28" s="1"/>
    </row>
    <row r="29" spans="2:11" ht="21" x14ac:dyDescent="0.4">
      <c r="B29" s="38"/>
      <c r="C29" s="38"/>
      <c r="D29" s="38"/>
      <c r="E29" s="38"/>
      <c r="F29" s="1"/>
      <c r="G29" s="49"/>
      <c r="H29" s="49"/>
      <c r="I29" s="49"/>
      <c r="J29" s="49"/>
      <c r="K29" s="49"/>
    </row>
    <row r="30" spans="2:11" ht="20.399999999999999" x14ac:dyDescent="0.35">
      <c r="B30" s="1"/>
      <c r="C30" s="1"/>
      <c r="D30" s="1"/>
      <c r="E30" s="1"/>
      <c r="F30" s="1"/>
      <c r="G30" s="50"/>
      <c r="H30" s="50"/>
      <c r="I30" s="50"/>
      <c r="J30" s="50"/>
      <c r="K30" s="50"/>
    </row>
  </sheetData>
  <mergeCells count="18">
    <mergeCell ref="F13:G13"/>
    <mergeCell ref="B24:K24"/>
    <mergeCell ref="G29:K29"/>
    <mergeCell ref="G30:K30"/>
    <mergeCell ref="B2:K2"/>
    <mergeCell ref="B3:K3"/>
    <mergeCell ref="B4:K4"/>
    <mergeCell ref="B7:K7"/>
    <mergeCell ref="B10:D10"/>
    <mergeCell ref="F10:G10"/>
    <mergeCell ref="H10:I10"/>
    <mergeCell ref="J10:K10"/>
    <mergeCell ref="F11:G11"/>
    <mergeCell ref="H11:I11"/>
    <mergeCell ref="J11:K11"/>
    <mergeCell ref="H12:I12"/>
    <mergeCell ref="F12:G12"/>
    <mergeCell ref="J12:K12"/>
  </mergeCells>
  <pageMargins left="0" right="0" top="0" bottom="0" header="0" footer="0"/>
  <pageSetup paperSize="9" scale="81" orientation="landscape" horizontalDpi="0" verticalDpi="0" r:id="rId1"/>
  <colBreaks count="1" manualBreakCount="1">
    <brk id="11"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129F6-B4D1-4E87-A600-C4FE607C0313}">
  <dimension ref="B2:K30"/>
  <sheetViews>
    <sheetView view="pageBreakPreview" topLeftCell="A7" zoomScale="60" zoomScaleNormal="100" workbookViewId="0">
      <selection activeCell="D14" sqref="A1:XFD1048576"/>
    </sheetView>
  </sheetViews>
  <sheetFormatPr defaultColWidth="9" defaultRowHeight="14.4" x14ac:dyDescent="0.3"/>
  <cols>
    <col min="1" max="1" width="3.109375" customWidth="1"/>
    <col min="2" max="2" width="10.109375" customWidth="1"/>
    <col min="4" max="4" width="54.21875" customWidth="1"/>
    <col min="5" max="5" width="14.88671875" bestFit="1" customWidth="1"/>
    <col min="6" max="6" width="12.88671875" customWidth="1"/>
    <col min="7" max="7" width="14.33203125" bestFit="1" customWidth="1"/>
    <col min="8" max="8" width="12.77734375" customWidth="1"/>
    <col min="9" max="9" width="12.33203125" customWidth="1"/>
    <col min="10" max="10" width="13.6640625" customWidth="1"/>
    <col min="11" max="11" width="13.77734375" customWidth="1"/>
  </cols>
  <sheetData>
    <row r="2" spans="2:11" ht="21" x14ac:dyDescent="0.3">
      <c r="B2" s="51"/>
      <c r="C2" s="51"/>
      <c r="D2" s="51"/>
      <c r="E2" s="51"/>
      <c r="F2" s="51"/>
      <c r="G2" s="51"/>
      <c r="H2" s="51"/>
      <c r="I2" s="51"/>
      <c r="J2" s="51"/>
      <c r="K2" s="51"/>
    </row>
    <row r="3" spans="2:11" ht="20.399999999999999" x14ac:dyDescent="0.3">
      <c r="B3" s="52"/>
      <c r="C3" s="52"/>
      <c r="D3" s="52"/>
      <c r="E3" s="52"/>
      <c r="F3" s="52"/>
      <c r="G3" s="52"/>
      <c r="H3" s="52"/>
      <c r="I3" s="52"/>
      <c r="J3" s="52"/>
      <c r="K3" s="52"/>
    </row>
    <row r="4" spans="2:11" ht="21" x14ac:dyDescent="0.3">
      <c r="B4" s="53"/>
      <c r="C4" s="53"/>
      <c r="D4" s="53"/>
      <c r="E4" s="53"/>
      <c r="F4" s="53"/>
      <c r="G4" s="53"/>
      <c r="H4" s="53"/>
      <c r="I4" s="53"/>
      <c r="J4" s="53"/>
      <c r="K4" s="53"/>
    </row>
    <row r="5" spans="2:11" ht="20.399999999999999" x14ac:dyDescent="0.35">
      <c r="B5" s="1"/>
      <c r="C5" s="1"/>
      <c r="D5" s="1"/>
      <c r="E5" s="1"/>
      <c r="F5" s="1"/>
      <c r="G5" s="1"/>
      <c r="H5" s="1"/>
      <c r="I5" s="1"/>
      <c r="J5" s="1"/>
      <c r="K5" s="1"/>
    </row>
    <row r="6" spans="2:11" ht="21" x14ac:dyDescent="0.4">
      <c r="B6" s="2"/>
      <c r="C6" s="2"/>
      <c r="D6" s="2"/>
      <c r="E6" s="2"/>
      <c r="F6" s="2"/>
      <c r="G6" s="2"/>
      <c r="H6" s="2"/>
      <c r="I6" s="2"/>
      <c r="J6" s="2"/>
      <c r="K6" s="2"/>
    </row>
    <row r="7" spans="2:11" ht="20.399999999999999" x14ac:dyDescent="0.35">
      <c r="B7" s="54" t="s">
        <v>0</v>
      </c>
      <c r="C7" s="54"/>
      <c r="D7" s="54"/>
      <c r="E7" s="54"/>
      <c r="F7" s="54"/>
      <c r="G7" s="54"/>
      <c r="H7" s="54"/>
      <c r="I7" s="54"/>
      <c r="J7" s="54"/>
      <c r="K7" s="54"/>
    </row>
    <row r="8" spans="2:11" ht="21" x14ac:dyDescent="0.4">
      <c r="B8" s="4" t="s">
        <v>1</v>
      </c>
      <c r="C8" s="3"/>
      <c r="D8" s="5" t="s">
        <v>79</v>
      </c>
      <c r="E8" s="3"/>
      <c r="F8" s="3"/>
      <c r="G8" s="3"/>
      <c r="H8" s="3"/>
      <c r="I8" s="3"/>
      <c r="J8" s="3"/>
      <c r="K8" s="3"/>
    </row>
    <row r="9" spans="2:11" ht="21" x14ac:dyDescent="0.4">
      <c r="B9" s="6" t="s">
        <v>2</v>
      </c>
      <c r="C9" s="7"/>
      <c r="D9" s="8" t="s">
        <v>80</v>
      </c>
      <c r="E9" s="2"/>
      <c r="F9" s="2"/>
      <c r="G9" s="2"/>
      <c r="H9" s="2"/>
      <c r="I9" s="2"/>
      <c r="J9" s="2"/>
      <c r="K9" s="2"/>
    </row>
    <row r="10" spans="2:11" ht="69" customHeight="1" x14ac:dyDescent="0.3">
      <c r="B10" s="55" t="s">
        <v>3</v>
      </c>
      <c r="C10" s="55"/>
      <c r="D10" s="55"/>
      <c r="E10" s="9" t="s">
        <v>4</v>
      </c>
      <c r="F10" s="56" t="s">
        <v>62</v>
      </c>
      <c r="G10" s="56"/>
      <c r="H10" s="56" t="s">
        <v>63</v>
      </c>
      <c r="I10" s="56"/>
      <c r="J10" s="56" t="s">
        <v>85</v>
      </c>
      <c r="K10" s="56"/>
    </row>
    <row r="11" spans="2:11" s="13" customFormat="1" ht="18" x14ac:dyDescent="0.35">
      <c r="B11" s="10" t="s">
        <v>5</v>
      </c>
      <c r="C11" s="10" t="s">
        <v>6</v>
      </c>
      <c r="D11" s="43" t="s">
        <v>7</v>
      </c>
      <c r="E11" s="41"/>
      <c r="F11" s="12" t="s">
        <v>8</v>
      </c>
      <c r="G11" s="12" t="s">
        <v>9</v>
      </c>
      <c r="H11" s="12" t="s">
        <v>8</v>
      </c>
      <c r="I11" s="12" t="s">
        <v>9</v>
      </c>
      <c r="J11" s="12" t="s">
        <v>8</v>
      </c>
      <c r="K11" s="12" t="s">
        <v>9</v>
      </c>
    </row>
    <row r="12" spans="2:11" s="19" customFormat="1" ht="31.2" x14ac:dyDescent="0.3">
      <c r="B12" s="14">
        <v>33</v>
      </c>
      <c r="C12" s="14" t="s">
        <v>61</v>
      </c>
      <c r="D12" s="47" t="s">
        <v>81</v>
      </c>
      <c r="E12" s="42">
        <v>16500</v>
      </c>
      <c r="F12" s="17">
        <v>500</v>
      </c>
      <c r="G12" s="18">
        <f>+F12*B12</f>
        <v>16500</v>
      </c>
      <c r="H12" s="18">
        <f>175+175+300</f>
        <v>650</v>
      </c>
      <c r="I12" s="18">
        <f>+H12*B12</f>
        <v>21450</v>
      </c>
      <c r="J12" s="18">
        <f>200+200+300</f>
        <v>700</v>
      </c>
      <c r="K12" s="18">
        <f>+J12*B12</f>
        <v>23100</v>
      </c>
    </row>
    <row r="13" spans="2:11" s="19" customFormat="1" ht="31.2" x14ac:dyDescent="0.3">
      <c r="B13" s="14"/>
      <c r="C13" s="14"/>
      <c r="D13" s="47" t="s">
        <v>82</v>
      </c>
      <c r="E13" s="42"/>
      <c r="F13" s="17"/>
      <c r="G13" s="18"/>
      <c r="H13" s="18"/>
      <c r="I13" s="18"/>
      <c r="J13" s="18"/>
      <c r="K13" s="18"/>
    </row>
    <row r="14" spans="2:11" s="19" customFormat="1" ht="15.6" x14ac:dyDescent="0.3">
      <c r="B14" s="14"/>
      <c r="C14" s="14"/>
      <c r="D14" s="45" t="s">
        <v>83</v>
      </c>
      <c r="E14" s="42"/>
      <c r="F14" s="17"/>
      <c r="G14" s="18"/>
      <c r="H14" s="18"/>
      <c r="I14" s="18"/>
      <c r="J14" s="18"/>
      <c r="K14" s="18"/>
    </row>
    <row r="15" spans="2:11" s="19" customFormat="1" ht="15.6" x14ac:dyDescent="0.3">
      <c r="B15" s="14"/>
      <c r="C15" s="14"/>
      <c r="D15" s="45"/>
      <c r="E15" s="42"/>
      <c r="F15" s="17"/>
      <c r="G15" s="18"/>
      <c r="H15" s="18"/>
      <c r="I15" s="18"/>
      <c r="J15" s="18"/>
      <c r="K15" s="18"/>
    </row>
    <row r="16" spans="2:11" s="19" customFormat="1" ht="15.6" x14ac:dyDescent="0.3">
      <c r="B16" s="14"/>
      <c r="C16" s="14"/>
      <c r="D16" s="45"/>
      <c r="E16" s="16"/>
      <c r="F16" s="17"/>
      <c r="G16" s="18"/>
      <c r="H16" s="18"/>
      <c r="I16" s="18"/>
      <c r="J16" s="18"/>
      <c r="K16" s="18"/>
    </row>
    <row r="17" spans="2:11" s="19" customFormat="1" ht="15.6" x14ac:dyDescent="0.3">
      <c r="B17" s="14"/>
      <c r="C17" s="14"/>
      <c r="D17" s="40"/>
      <c r="E17" s="16"/>
      <c r="F17" s="17"/>
      <c r="G17" s="18"/>
      <c r="H17" s="18"/>
      <c r="I17" s="18"/>
      <c r="J17" s="18"/>
      <c r="K17" s="18"/>
    </row>
    <row r="18" spans="2:11" s="19" customFormat="1" ht="15.6" x14ac:dyDescent="0.3">
      <c r="B18" s="14"/>
      <c r="C18" s="14"/>
      <c r="D18" s="15"/>
      <c r="E18" s="16"/>
      <c r="F18" s="17"/>
      <c r="G18" s="18"/>
      <c r="H18" s="18"/>
      <c r="I18" s="18"/>
      <c r="J18" s="18"/>
      <c r="K18" s="18"/>
    </row>
    <row r="19" spans="2:11" s="19" customFormat="1" ht="15.6" x14ac:dyDescent="0.3">
      <c r="B19" s="14"/>
      <c r="C19" s="14"/>
      <c r="D19" s="15"/>
      <c r="E19" s="16"/>
      <c r="F19" s="17"/>
      <c r="G19" s="18"/>
      <c r="H19" s="18"/>
      <c r="I19" s="18"/>
      <c r="J19" s="18"/>
      <c r="K19" s="18"/>
    </row>
    <row r="20" spans="2:11" s="19" customFormat="1" ht="15.6" x14ac:dyDescent="0.3">
      <c r="B20" s="14"/>
      <c r="C20" s="14"/>
      <c r="D20" s="20"/>
      <c r="E20" s="16"/>
      <c r="F20" s="17"/>
      <c r="G20" s="18"/>
      <c r="H20" s="18"/>
      <c r="I20" s="18"/>
      <c r="J20" s="18"/>
      <c r="K20" s="18"/>
    </row>
    <row r="21" spans="2:11" ht="31.2" x14ac:dyDescent="0.3">
      <c r="B21" s="21"/>
      <c r="C21" s="22"/>
      <c r="D21" s="23" t="s">
        <v>84</v>
      </c>
      <c r="E21" s="24"/>
      <c r="F21" s="25"/>
      <c r="G21" s="26">
        <f>SUM(G12:G20)</f>
        <v>16500</v>
      </c>
      <c r="H21" s="27"/>
      <c r="I21" s="27">
        <f>SUM(I12:I20)</f>
        <v>21450</v>
      </c>
      <c r="J21" s="27"/>
      <c r="K21" s="27">
        <f>SUM(K12:K20)</f>
        <v>23100</v>
      </c>
    </row>
    <row r="22" spans="2:11" ht="15.6" x14ac:dyDescent="0.3">
      <c r="B22" s="28"/>
      <c r="C22" s="29"/>
      <c r="D22" s="30"/>
      <c r="E22" s="30"/>
      <c r="F22" s="31"/>
      <c r="G22" s="32"/>
      <c r="H22" s="32"/>
      <c r="I22" s="32"/>
      <c r="J22" s="32"/>
      <c r="K22" s="32"/>
    </row>
    <row r="23" spans="2:11" ht="15.6" x14ac:dyDescent="0.3">
      <c r="B23" s="33" t="s">
        <v>10</v>
      </c>
      <c r="C23" s="34"/>
      <c r="D23" s="34"/>
      <c r="E23" s="34"/>
      <c r="F23" s="35"/>
      <c r="G23" s="35"/>
      <c r="H23" s="35"/>
      <c r="I23" s="35"/>
      <c r="J23" s="35"/>
      <c r="K23" s="35"/>
    </row>
    <row r="24" spans="2:11" ht="15.6" x14ac:dyDescent="0.3">
      <c r="B24" s="48" t="s">
        <v>65</v>
      </c>
      <c r="C24" s="48"/>
      <c r="D24" s="48"/>
      <c r="E24" s="48"/>
      <c r="F24" s="48"/>
      <c r="G24" s="48"/>
      <c r="H24" s="48"/>
      <c r="I24" s="48"/>
      <c r="J24" s="48"/>
      <c r="K24" s="48"/>
    </row>
    <row r="25" spans="2:11" ht="15.6" x14ac:dyDescent="0.3">
      <c r="B25" s="33" t="s">
        <v>11</v>
      </c>
      <c r="C25" s="36"/>
      <c r="D25" s="36"/>
      <c r="E25" s="36"/>
      <c r="F25" s="35"/>
      <c r="G25" s="35"/>
      <c r="H25" s="35"/>
      <c r="I25" s="35"/>
      <c r="J25" s="35"/>
      <c r="K25" s="35"/>
    </row>
    <row r="26" spans="2:11" ht="20.399999999999999" x14ac:dyDescent="0.35">
      <c r="B26" s="37"/>
      <c r="C26" s="1"/>
      <c r="D26" s="1"/>
      <c r="E26" s="1"/>
      <c r="F26" s="1"/>
      <c r="G26" s="1"/>
      <c r="H26" s="1"/>
      <c r="I26" s="1"/>
      <c r="J26" s="1"/>
      <c r="K26" s="1"/>
    </row>
    <row r="27" spans="2:11" ht="20.399999999999999" x14ac:dyDescent="0.35">
      <c r="B27" s="1"/>
      <c r="C27" s="1"/>
      <c r="D27" s="1"/>
      <c r="E27" s="1"/>
      <c r="F27" s="1"/>
      <c r="G27" s="1"/>
      <c r="H27" s="1"/>
      <c r="I27" s="1"/>
      <c r="J27" s="1"/>
      <c r="K27" s="1"/>
    </row>
    <row r="28" spans="2:11" ht="20.399999999999999" x14ac:dyDescent="0.35">
      <c r="B28" s="1"/>
      <c r="C28" s="1"/>
      <c r="D28" s="1"/>
      <c r="E28" s="1"/>
      <c r="F28" s="1"/>
    </row>
    <row r="29" spans="2:11" ht="21" x14ac:dyDescent="0.4">
      <c r="B29" s="38"/>
      <c r="C29" s="38"/>
      <c r="D29" s="38"/>
      <c r="E29" s="38"/>
      <c r="F29" s="1"/>
      <c r="G29" s="49"/>
      <c r="H29" s="49"/>
      <c r="I29" s="49"/>
      <c r="J29" s="49"/>
      <c r="K29" s="49"/>
    </row>
    <row r="30" spans="2:11" ht="20.399999999999999" x14ac:dyDescent="0.35">
      <c r="B30" s="1"/>
      <c r="C30" s="1"/>
      <c r="D30" s="1"/>
      <c r="E30" s="1"/>
      <c r="F30" s="1"/>
      <c r="G30" s="50"/>
      <c r="H30" s="50"/>
      <c r="I30" s="50"/>
      <c r="J30" s="50"/>
      <c r="K30" s="50"/>
    </row>
  </sheetData>
  <mergeCells count="11">
    <mergeCell ref="B24:K24"/>
    <mergeCell ref="G29:K29"/>
    <mergeCell ref="G30:K30"/>
    <mergeCell ref="B2:K2"/>
    <mergeCell ref="B3:K3"/>
    <mergeCell ref="B4:K4"/>
    <mergeCell ref="B7:K7"/>
    <mergeCell ref="B10:D10"/>
    <mergeCell ref="F10:G10"/>
    <mergeCell ref="H10:I10"/>
    <mergeCell ref="J10:K10"/>
  </mergeCells>
  <pageMargins left="0" right="0" top="0" bottom="0" header="0" footer="0"/>
  <pageSetup paperSize="9" scale="82" orientation="landscape" horizontalDpi="0" verticalDpi="0" r:id="rId1"/>
  <rowBreaks count="1" manualBreakCount="1">
    <brk id="34" max="10" man="1"/>
  </rowBreaks>
  <colBreaks count="1" manualBreakCount="1">
    <brk id="11"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088B3-A607-4782-8BDF-DF8854BF6856}">
  <dimension ref="B2:K30"/>
  <sheetViews>
    <sheetView tabSelected="1" view="pageBreakPreview" topLeftCell="A10" zoomScale="60" zoomScaleNormal="100" workbookViewId="0">
      <selection activeCell="J13" sqref="J13"/>
    </sheetView>
  </sheetViews>
  <sheetFormatPr defaultColWidth="9" defaultRowHeight="14.4" x14ac:dyDescent="0.3"/>
  <cols>
    <col min="1" max="1" width="3.109375" customWidth="1"/>
    <col min="2" max="2" width="10.109375" customWidth="1"/>
    <col min="4" max="4" width="54.21875" customWidth="1"/>
    <col min="5" max="5" width="14.88671875" bestFit="1" customWidth="1"/>
    <col min="6" max="6" width="12.88671875" customWidth="1"/>
    <col min="7" max="7" width="14.33203125" bestFit="1" customWidth="1"/>
    <col min="8" max="8" width="12.77734375" customWidth="1"/>
    <col min="9" max="9" width="12.33203125" customWidth="1"/>
    <col min="10" max="10" width="13.6640625" customWidth="1"/>
    <col min="11" max="11" width="13.77734375" customWidth="1"/>
  </cols>
  <sheetData>
    <row r="2" spans="2:11" ht="21" x14ac:dyDescent="0.3">
      <c r="B2" s="51"/>
      <c r="C2" s="51"/>
      <c r="D2" s="51"/>
      <c r="E2" s="51"/>
      <c r="F2" s="51"/>
      <c r="G2" s="51"/>
      <c r="H2" s="51"/>
      <c r="I2" s="51"/>
      <c r="J2" s="51"/>
      <c r="K2" s="51"/>
    </row>
    <row r="3" spans="2:11" ht="20.399999999999999" x14ac:dyDescent="0.3">
      <c r="B3" s="52"/>
      <c r="C3" s="52"/>
      <c r="D3" s="52"/>
      <c r="E3" s="52"/>
      <c r="F3" s="52"/>
      <c r="G3" s="52"/>
      <c r="H3" s="52"/>
      <c r="I3" s="52"/>
      <c r="J3" s="52"/>
      <c r="K3" s="52"/>
    </row>
    <row r="4" spans="2:11" ht="21" x14ac:dyDescent="0.3">
      <c r="B4" s="53"/>
      <c r="C4" s="53"/>
      <c r="D4" s="53"/>
      <c r="E4" s="53"/>
      <c r="F4" s="53"/>
      <c r="G4" s="53"/>
      <c r="H4" s="53"/>
      <c r="I4" s="53"/>
      <c r="J4" s="53"/>
      <c r="K4" s="53"/>
    </row>
    <row r="5" spans="2:11" ht="20.399999999999999" x14ac:dyDescent="0.35">
      <c r="B5" s="1"/>
      <c r="C5" s="1"/>
      <c r="D5" s="1"/>
      <c r="E5" s="1"/>
      <c r="F5" s="1"/>
      <c r="G5" s="1"/>
      <c r="H5" s="1"/>
      <c r="I5" s="1"/>
      <c r="J5" s="1"/>
      <c r="K5" s="1"/>
    </row>
    <row r="6" spans="2:11" ht="21" x14ac:dyDescent="0.4">
      <c r="B6" s="2"/>
      <c r="C6" s="2"/>
      <c r="D6" s="2"/>
      <c r="E6" s="2"/>
      <c r="F6" s="2"/>
      <c r="G6" s="2"/>
      <c r="H6" s="2"/>
      <c r="I6" s="2"/>
      <c r="J6" s="2"/>
      <c r="K6" s="2"/>
    </row>
    <row r="7" spans="2:11" ht="20.399999999999999" x14ac:dyDescent="0.35">
      <c r="B7" s="54" t="s">
        <v>0</v>
      </c>
      <c r="C7" s="54"/>
      <c r="D7" s="54"/>
      <c r="E7" s="54"/>
      <c r="F7" s="54"/>
      <c r="G7" s="54"/>
      <c r="H7" s="54"/>
      <c r="I7" s="54"/>
      <c r="J7" s="54"/>
      <c r="K7" s="54"/>
    </row>
    <row r="8" spans="2:11" ht="21" x14ac:dyDescent="0.4">
      <c r="B8" s="4" t="s">
        <v>1</v>
      </c>
      <c r="C8" s="3"/>
      <c r="D8" s="5" t="s">
        <v>95</v>
      </c>
      <c r="E8" s="3"/>
      <c r="F8" s="3"/>
      <c r="G8" s="3"/>
      <c r="H8" s="3"/>
      <c r="I8" s="3"/>
      <c r="J8" s="3"/>
      <c r="K8" s="3"/>
    </row>
    <row r="9" spans="2:11" ht="21" x14ac:dyDescent="0.4">
      <c r="B9" s="6" t="s">
        <v>2</v>
      </c>
      <c r="C9" s="7"/>
      <c r="D9" s="8" t="s">
        <v>94</v>
      </c>
      <c r="E9" s="2"/>
      <c r="F9" s="2"/>
      <c r="G9" s="2"/>
      <c r="H9" s="2"/>
      <c r="I9" s="2"/>
      <c r="J9" s="2"/>
      <c r="K9" s="2"/>
    </row>
    <row r="10" spans="2:11" ht="69" customHeight="1" x14ac:dyDescent="0.3">
      <c r="B10" s="55" t="s">
        <v>3</v>
      </c>
      <c r="C10" s="55"/>
      <c r="D10" s="55"/>
      <c r="E10" s="9" t="s">
        <v>4</v>
      </c>
      <c r="F10" s="56" t="s">
        <v>62</v>
      </c>
      <c r="G10" s="56"/>
      <c r="H10" s="56" t="s">
        <v>97</v>
      </c>
      <c r="I10" s="56"/>
      <c r="J10" s="56" t="s">
        <v>98</v>
      </c>
      <c r="K10" s="56"/>
    </row>
    <row r="11" spans="2:11" s="13" customFormat="1" ht="18" x14ac:dyDescent="0.35">
      <c r="B11" s="10" t="s">
        <v>5</v>
      </c>
      <c r="C11" s="10" t="s">
        <v>6</v>
      </c>
      <c r="D11" s="43" t="s">
        <v>7</v>
      </c>
      <c r="E11" s="41"/>
      <c r="F11" s="12" t="s">
        <v>8</v>
      </c>
      <c r="G11" s="12" t="s">
        <v>9</v>
      </c>
      <c r="H11" s="12" t="s">
        <v>8</v>
      </c>
      <c r="I11" s="12" t="s">
        <v>9</v>
      </c>
      <c r="J11" s="12" t="s">
        <v>8</v>
      </c>
      <c r="K11" s="12" t="s">
        <v>9</v>
      </c>
    </row>
    <row r="12" spans="2:11" s="19" customFormat="1" ht="15.6" x14ac:dyDescent="0.3">
      <c r="B12" s="14">
        <v>31</v>
      </c>
      <c r="C12" s="14" t="s">
        <v>61</v>
      </c>
      <c r="D12" s="47" t="s">
        <v>91</v>
      </c>
      <c r="E12" s="42">
        <v>15500</v>
      </c>
      <c r="F12" s="17">
        <v>500</v>
      </c>
      <c r="G12" s="18">
        <f>+F12*B12</f>
        <v>15500</v>
      </c>
      <c r="H12" s="18">
        <v>600</v>
      </c>
      <c r="I12" s="18">
        <f>+H12*B12</f>
        <v>18600</v>
      </c>
      <c r="J12" s="18">
        <v>650</v>
      </c>
      <c r="K12" s="18">
        <f>+J12*B12</f>
        <v>20150</v>
      </c>
    </row>
    <row r="13" spans="2:11" s="19" customFormat="1" ht="31.2" x14ac:dyDescent="0.3">
      <c r="B13" s="14"/>
      <c r="C13" s="14"/>
      <c r="D13" s="47" t="s">
        <v>92</v>
      </c>
      <c r="E13" s="42"/>
      <c r="F13" s="17"/>
      <c r="G13" s="18"/>
      <c r="H13" s="18"/>
      <c r="I13" s="18"/>
      <c r="J13" s="18"/>
      <c r="K13" s="18"/>
    </row>
    <row r="14" spans="2:11" s="19" customFormat="1" ht="15.6" x14ac:dyDescent="0.3">
      <c r="B14" s="14"/>
      <c r="C14" s="14"/>
      <c r="D14" s="45" t="s">
        <v>93</v>
      </c>
      <c r="E14" s="42"/>
      <c r="F14" s="17"/>
      <c r="G14" s="18"/>
      <c r="H14" s="18"/>
      <c r="I14" s="18"/>
      <c r="J14" s="18"/>
      <c r="K14" s="18"/>
    </row>
    <row r="15" spans="2:11" s="19" customFormat="1" ht="15.6" x14ac:dyDescent="0.3">
      <c r="B15" s="14"/>
      <c r="C15" s="14"/>
      <c r="D15" s="45"/>
      <c r="E15" s="42"/>
      <c r="F15" s="17"/>
      <c r="G15" s="18"/>
      <c r="H15" s="18"/>
      <c r="I15" s="18"/>
      <c r="J15" s="18"/>
      <c r="K15" s="18"/>
    </row>
    <row r="16" spans="2:11" s="19" customFormat="1" ht="15.6" x14ac:dyDescent="0.3">
      <c r="B16" s="14"/>
      <c r="C16" s="14"/>
      <c r="D16" s="45"/>
      <c r="E16" s="16"/>
      <c r="F16" s="17"/>
      <c r="G16" s="18"/>
      <c r="H16" s="18"/>
      <c r="I16" s="18"/>
      <c r="J16" s="18"/>
      <c r="K16" s="18"/>
    </row>
    <row r="17" spans="2:11" s="19" customFormat="1" ht="15.6" x14ac:dyDescent="0.3">
      <c r="B17" s="14"/>
      <c r="C17" s="14"/>
      <c r="D17" s="40"/>
      <c r="E17" s="16"/>
      <c r="F17" s="17"/>
      <c r="G17" s="18"/>
      <c r="H17" s="18"/>
      <c r="I17" s="18"/>
      <c r="J17" s="18"/>
      <c r="K17" s="18"/>
    </row>
    <row r="18" spans="2:11" s="19" customFormat="1" ht="15.6" x14ac:dyDescent="0.3">
      <c r="B18" s="14"/>
      <c r="C18" s="14"/>
      <c r="D18" s="15"/>
      <c r="E18" s="16"/>
      <c r="F18" s="17"/>
      <c r="G18" s="18"/>
      <c r="H18" s="18"/>
      <c r="I18" s="18"/>
      <c r="J18" s="18"/>
      <c r="K18" s="18"/>
    </row>
    <row r="19" spans="2:11" s="19" customFormat="1" ht="15.6" x14ac:dyDescent="0.3">
      <c r="B19" s="14"/>
      <c r="C19" s="14"/>
      <c r="D19" s="15"/>
      <c r="E19" s="16"/>
      <c r="F19" s="17"/>
      <c r="G19" s="18"/>
      <c r="H19" s="18"/>
      <c r="I19" s="18"/>
      <c r="J19" s="18"/>
      <c r="K19" s="18"/>
    </row>
    <row r="20" spans="2:11" s="19" customFormat="1" ht="15.6" x14ac:dyDescent="0.3">
      <c r="B20" s="14"/>
      <c r="C20" s="14"/>
      <c r="D20" s="20"/>
      <c r="E20" s="16"/>
      <c r="F20" s="17"/>
      <c r="G20" s="18"/>
      <c r="H20" s="18"/>
      <c r="I20" s="18"/>
      <c r="J20" s="18"/>
      <c r="K20" s="18"/>
    </row>
    <row r="21" spans="2:11" ht="46.8" x14ac:dyDescent="0.3">
      <c r="B21" s="21"/>
      <c r="C21" s="22"/>
      <c r="D21" s="23" t="s">
        <v>96</v>
      </c>
      <c r="E21" s="24"/>
      <c r="F21" s="25"/>
      <c r="G21" s="26">
        <f>SUM(G12:G20)</f>
        <v>15500</v>
      </c>
      <c r="H21" s="27"/>
      <c r="I21" s="27">
        <f>SUM(I12:I20)</f>
        <v>18600</v>
      </c>
      <c r="J21" s="27"/>
      <c r="K21" s="27">
        <f>SUM(K12:K20)</f>
        <v>20150</v>
      </c>
    </row>
    <row r="22" spans="2:11" ht="15.6" x14ac:dyDescent="0.3">
      <c r="B22" s="28"/>
      <c r="C22" s="29"/>
      <c r="D22" s="30"/>
      <c r="E22" s="30"/>
      <c r="F22" s="31"/>
      <c r="G22" s="32"/>
      <c r="H22" s="32"/>
      <c r="I22" s="32"/>
      <c r="J22" s="32"/>
      <c r="K22" s="32"/>
    </row>
    <row r="23" spans="2:11" ht="15.6" x14ac:dyDescent="0.3">
      <c r="B23" s="33" t="s">
        <v>10</v>
      </c>
      <c r="C23" s="34"/>
      <c r="D23" s="34"/>
      <c r="E23" s="34"/>
      <c r="F23" s="35"/>
      <c r="G23" s="35"/>
      <c r="H23" s="35"/>
      <c r="I23" s="35"/>
      <c r="J23" s="35"/>
      <c r="K23" s="35"/>
    </row>
    <row r="24" spans="2:11" ht="15.6" x14ac:dyDescent="0.3">
      <c r="B24" s="48" t="s">
        <v>65</v>
      </c>
      <c r="C24" s="48"/>
      <c r="D24" s="48"/>
      <c r="E24" s="48"/>
      <c r="F24" s="48"/>
      <c r="G24" s="48"/>
      <c r="H24" s="48"/>
      <c r="I24" s="48"/>
      <c r="J24" s="48"/>
      <c r="K24" s="48"/>
    </row>
    <row r="25" spans="2:11" ht="15.6" x14ac:dyDescent="0.3">
      <c r="B25" s="33" t="s">
        <v>11</v>
      </c>
      <c r="C25" s="36"/>
      <c r="D25" s="36"/>
      <c r="E25" s="36"/>
      <c r="F25" s="35"/>
      <c r="G25" s="35"/>
      <c r="H25" s="35"/>
      <c r="I25" s="35"/>
      <c r="J25" s="35"/>
      <c r="K25" s="35"/>
    </row>
    <row r="26" spans="2:11" ht="20.399999999999999" x14ac:dyDescent="0.35">
      <c r="B26" s="37"/>
      <c r="C26" s="1"/>
      <c r="D26" s="1"/>
      <c r="E26" s="1"/>
      <c r="F26" s="1"/>
      <c r="G26" s="1"/>
      <c r="H26" s="1"/>
      <c r="I26" s="1"/>
      <c r="J26" s="1"/>
      <c r="K26" s="1"/>
    </row>
    <row r="27" spans="2:11" ht="20.399999999999999" x14ac:dyDescent="0.35">
      <c r="B27" s="1"/>
      <c r="C27" s="1"/>
      <c r="D27" s="1"/>
      <c r="E27" s="1"/>
      <c r="F27" s="1"/>
      <c r="G27" s="1"/>
      <c r="H27" s="1"/>
      <c r="I27" s="1"/>
      <c r="J27" s="1"/>
      <c r="K27" s="1"/>
    </row>
    <row r="28" spans="2:11" ht="20.399999999999999" x14ac:dyDescent="0.35">
      <c r="B28" s="1"/>
      <c r="C28" s="1"/>
      <c r="D28" s="1"/>
      <c r="E28" s="1"/>
      <c r="F28" s="1"/>
    </row>
    <row r="29" spans="2:11" ht="21" x14ac:dyDescent="0.4">
      <c r="B29" s="38"/>
      <c r="C29" s="38"/>
      <c r="D29" s="38"/>
      <c r="E29" s="38"/>
      <c r="F29" s="1"/>
      <c r="G29" s="49"/>
      <c r="H29" s="49"/>
      <c r="I29" s="49"/>
      <c r="J29" s="49"/>
      <c r="K29" s="49"/>
    </row>
    <row r="30" spans="2:11" ht="20.399999999999999" x14ac:dyDescent="0.35">
      <c r="B30" s="1"/>
      <c r="C30" s="1"/>
      <c r="D30" s="1"/>
      <c r="E30" s="1"/>
      <c r="F30" s="1"/>
      <c r="G30" s="50"/>
      <c r="H30" s="50"/>
      <c r="I30" s="50"/>
      <c r="J30" s="50"/>
      <c r="K30" s="50"/>
    </row>
  </sheetData>
  <mergeCells count="11">
    <mergeCell ref="B24:K24"/>
    <mergeCell ref="G29:K29"/>
    <mergeCell ref="G30:K30"/>
    <mergeCell ref="B2:K2"/>
    <mergeCell ref="B3:K3"/>
    <mergeCell ref="B4:K4"/>
    <mergeCell ref="B7:K7"/>
    <mergeCell ref="B10:D10"/>
    <mergeCell ref="F10:G10"/>
    <mergeCell ref="H10:I10"/>
    <mergeCell ref="J10:K10"/>
  </mergeCells>
  <pageMargins left="0" right="0" top="0" bottom="0" header="0" footer="0"/>
  <pageSetup paperSize="9" scale="82" orientation="landscape" horizontalDpi="0" verticalDpi="0" r:id="rId1"/>
  <rowBreaks count="1" manualBreakCount="1">
    <brk id="34" max="10" man="1"/>
  </rowBreaks>
  <colBreaks count="1" manualBreakCount="1">
    <brk id="11"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POL</vt:lpstr>
      <vt:lpstr>purified water</vt:lpstr>
      <vt:lpstr>tarp</vt:lpstr>
      <vt:lpstr>Snacks - PNU</vt:lpstr>
      <vt:lpstr>SNACKS SNSU</vt:lpstr>
      <vt:lpstr>Janitorial</vt:lpstr>
      <vt:lpstr>Security</vt:lpstr>
      <vt:lpstr>dict</vt:lpstr>
      <vt:lpstr>KNOWLEDGE SHARING JAN. 23</vt:lpstr>
      <vt:lpstr>dict!Print_Area</vt:lpstr>
      <vt:lpstr>Janitorial!Print_Area</vt:lpstr>
      <vt:lpstr>'KNOWLEDGE SHARING JAN. 23'!Print_Area</vt:lpstr>
      <vt:lpstr>POL!Print_Area</vt:lpstr>
      <vt:lpstr>'purified water'!Print_Area</vt:lpstr>
      <vt:lpstr>Security!Print_Area</vt:lpstr>
      <vt:lpstr>'Snacks - PNU'!Print_Area</vt:lpstr>
      <vt:lpstr>'SNACKS SNSU'!Print_Area</vt:lpstr>
      <vt:lpstr>tarp!Print_Area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Marasigan</dc:creator>
  <cp:lastModifiedBy>recordsr13</cp:lastModifiedBy>
  <cp:lastPrinted>2026-01-19T08:37:15Z</cp:lastPrinted>
  <dcterms:created xsi:type="dcterms:W3CDTF">2015-06-05T18:17:20Z</dcterms:created>
  <dcterms:modified xsi:type="dcterms:W3CDTF">2026-01-19T08:37:38Z</dcterms:modified>
</cp:coreProperties>
</file>